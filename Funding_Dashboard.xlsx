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6380" windowHeight="8200" tabRatio="500" firstSheet="0" activeTab="2" autoFilterDateGrouping="1"/>
  </bookViews>
  <sheets>
    <sheet name="Summary" sheetId="1" state="visible" r:id="rId1"/>
    <sheet name="Funding Dashboard" sheetId="2" state="visible" r:id="rId2"/>
    <sheet name="Application Calendar" sheetId="3" state="visible" r:id="rId3"/>
    <sheet name="Instruction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 research pass</author>
  </authors>
  <commentList>
    <comment ref="J2" authorId="0" shapeId="0">
      <text>
        <t>Grand prize ~$75k; total prize pool ~$515k across tracks (search-derived).
Search-verified via official-domain content (innovationlabs.harvard.edu) on 2026-08-11 (WebSearch). Direct official-page fetch was BLOCKED by this session's egress policy, so this is NOT a live-page confirmation. Confirm on the official page before relying. Source: https://innovationlabs.harvard.edu/presidents-innovation-challenge</t>
      </text>
    </comment>
    <comment ref="J3" authorId="0" shapeId="0">
      <text>
        <t>Incubation membership is non-cash; gateway to equity-free grants (Spark ~$250-750, SIFF up to ~$15k). Avoid Allston Venture Fund SAFE track (dilutive).
Search-verified via official-domain content (innovationlabs.harvard.edu) on 2026-08-11 (WebSearch). Direct official-page fetch was BLOCKED by this session's egress policy, so this is NOT a live-page confirmation. Confirm on the official page before relying. Source: https://innovationlabs.harvard.edu/resources/funding-opportunities</t>
      </text>
    </comment>
    <comment ref="J4" authorId="0" shapeId="0">
      <text>
        <t>Typical grant ~$4k-$15k; equity-free (search-derived).
Search-verified via official-domain content (innovationlabs.harvard.edu) on 2026-08-11 (WebSearch). Direct official-page fetch was BLOCKED by this session's egress policy, so this is NOT a live-page confirmation. Confirm on the official page before relying. Source: https://innovationlabs.harvard.edu/funding-opportunities/social-impact</t>
      </text>
    </comment>
    <comment ref="J5" authorId="0" shapeId="0">
      <text>
        <t>~$1,000 seed per team + mentoring/Venture Board exposure; equity-free (search-derived). Value is support, not cash.
Search-verified via official-domain content (www.healthlabaccelerator.harvard.edu) on 2026-08-11 (WebSearch). Direct official-page fetch was BLOCKED by this session's egress policy, so this is NOT a live-page confirmation. Confirm on the official page before relying. Source: https://www.healthlabaccelerator.harvard.edu/</t>
      </text>
    </comment>
    <comment ref="J6" authorId="0" shapeId="0">
      <text>
        <t>No standalone follow-on fund confirmed; follow-on appears to run through the H2A Venture Board for cohort teams.
Search-verified via official-domain content (www.healthlabaccelerator.harvard.edu) on 2026-08-11 (WebSearch). Direct official-page fetch was BLOCKED by this session's egress policy, so this is NOT a live-page confirmation. Confirm on the official page before relying. Source: https://www.healthlabaccelerator.harvard.edu/venture-board</t>
      </text>
    </comment>
    <comment ref="J7" authorId="0" shapeId="0">
      <text>
        <t>Equity-free, zero-cost accelerator; cash prize pool varies by year and was not confirmable.
Search-verified via official-domain content (masschallenge.org) on 2026-08-11 (WebSearch). Direct official-page fetch was BLOCKED by this session's egress policy, so this is NOT a live-page confirmation. Confirm on the official page before relying. Source: https://masschallenge.org/programs-healthtech/</t>
      </text>
    </comment>
    <comment ref="J8" authorId="0" shapeId="0">
      <text>
        <t>Each Global Challenge winner &gt;= $100k unrestricted; AI for Humanity Prize $150k (search-derived).
Search-verified via official-domain content (solve.mit.edu) on 2026-08-11 (WebSearch). Direct official-page fetch was BLOCKED by this session's egress policy, so this is NOT a live-page confirmation. Confirm on the official page before relying. Source: https://solve.mit.edu/challenges</t>
      </text>
    </comment>
    <comment ref="J9" authorId="0" shapeId="0">
      <text>
        <t>Impact Catalyst up to ~$250k, milestone-based (search-derived).
Search-verified via official-domain content (www.masslifesciences.com) on 2026-08-11 (WebSearch). Direct official-page fetch was BLOCKED by this session's egress policy, so this is NOT a live-page confirmation. Confirm on the official page before relying. Source: https://www.masslifesciences.com/programs/</t>
      </text>
    </comment>
    <comment ref="J10" authorId="0" shapeId="0">
      <text>
        <t>Non-dilutive grant + subsidized bench + coaching; exact grant figure not confirmable.
Search-verified via official-domain content (www.masslifesciences.com) on 2026-08-11 (WebSearch). Direct official-page fetch was BLOCKED by this session's egress policy, so this is NOT a live-page confirmation. Confirm on the official page before relying. Source: https://www.masslifesciences.com/programs/massnextgen/</t>
      </text>
    </comment>
    <comment ref="J11" authorId="0" shapeId="0">
      <text>
        <t>START ~$100k-$500k staged/milestone (search-derived).
Search-verified via official-domain content (www.mass-ventures.com) on 2026-08-11 (WebSearch). Direct official-page fetch was BLOCKED by this session's egress policy, so this is NOT a live-page confirmation. Confirm on the official page before relying. Source: https://www.mass-ventures.com/start-program-info</t>
      </text>
    </comment>
    <comment ref="J12" authorId="0" shapeId="0">
      <text>
        <t>Non-cash: funded fellowships, legal support, curriculum, subsidized perks; equity-free (Nucleate takes no equity).
Search-verified via official-domain content (nucleate.org) on 2026-08-11 (WebSearch). Direct official-page fetch was BLOCKED by this session's egress policy, so this is NOT a live-page confirmation. Confirm on the official page before relying. Source: https://nucleate.org/activator/</t>
      </text>
    </comment>
    <comment ref="J13" authorId="0" shapeId="0">
      <text>
        <t>Free advising service (non-cash). NOT yet submitted — awaiting Lara's go-ahead per protocol.
Search-verified via official-domain content (www.msbdc.org) on 2026-08-11 (WebSearch). Direct official-page fetch was BLOCKED by this session's egress policy, so this is NOT a live-page confirmation. Confirm on the official page before relying. Source: https://www.msbdc.org/sbir/</t>
      </text>
    </comment>
    <comment ref="J14" authorId="0" shapeId="0">
      <text>
        <t>Phase I ~$323,090 total costs (FY2026 SBA guideline, search-derived); Phase II ~$2.15M. Non-dilutive.
Search-verified via official-domain content (seed.nih.gov) on 2026-08-11 (WebSearch). Direct official-page fetch was BLOCKED by this session's egress policy, so this is NOT a live-page confirmation. Confirm on the official page before relying. Source: https://seed.nih.gov/small-business-funding/small-business-program-basics/eligibility-criteria</t>
      </text>
    </comment>
    <comment ref="J15" authorId="0" shapeId="0">
      <text>
        <t>Pre-seed/seed check range ~$50k-$7M (leans small at pre-seed).
Search-verified via official-domain content (www.pillar.vc) on 2026-08-11 (WebSearch). Direct official-page fetch was BLOCKED by this session's egress policy, so this is NOT a live-page confirmation. Confirm on the official page before relying. Source: https://www.pillar.vc/connect/</t>
      </text>
    </comment>
    <comment ref="J16" authorId="0" shapeId="0">
      <text>
        <t>Participates in $250k-$3M rounds (per-check size unverified).
Search-verified via official-domain content (www.massmedangels.com) on 2026-08-11 (WebSearch). Direct official-page fetch was BLOCKED by this session's egress policy, so this is NOT a live-page confirmation. Confirm on the official page before relying. Source: https://www.massmedangels.com/</t>
      </text>
    </comment>
    <comment ref="J17" authorId="0" shapeId="0">
      <text>
        <t>Check $50k-$400k, sweet spot ~$225k.
Search-verified via official-domain content (beaconangels.com) on 2026-08-11 (WebSearch). Direct official-page fetch was BLOCKED by this session's egress policy, so this is NOT a live-page confirmation. Confirm on the official page before relying. Source: https://beaconangels.com/candidates/</t>
      </text>
    </comment>
    <comment ref="J18" authorId="0" shapeId="0">
      <text>
        <t>Leads/co-leads first institutional rounds (multi-$M); not a pre-seed check.
Search-verified via official-domain content (www.406ventures.com) on 2026-08-11 (WebSearch). Direct official-page fetch was BLOCKED by this session's egress policy, so this is NOT a live-page confirmation. Confirm on the official page before relying. Source: https://www.406ventures.com/our-focus/healthcare/</t>
      </text>
    </comment>
    <comment ref="J19" authorId="0" shapeId="0">
      <text>
        <t>Participates in $250k-$1.25M rounds (secondary source cites $100k-$500k).
Search-verified via official-domain content (members.launchpadventuregroup.com) on 2026-08-11 (WebSearch). Direct official-page fetch was BLOCKED by this session's egress policy, so this is NOT a live-page confirmation. Confirm on the official page before relying. Source: https://members.launchpadventuregroup.com/apply</t>
      </text>
    </comment>
    <comment ref="J20" authorId="0" shapeId="0">
      <text>
        <t>Participates in $250k-$2M rounds, valuations under ~$10M.
Search-verified via official-domain content (www.goldenseeds.com) on 2026-08-11 (WebSearch). Direct official-page fetch was BLOCKED by this session's egress policy, so this is NOT a live-page confirmation. Confirm on the official page before relying. Source: https://www.goldenseeds.com/how-to-apply</t>
      </text>
    </comment>
    <comment ref="J21" authorId="0" shapeId="0">
      <text>
        <t>Syndicated fund + member co-investment; check range not published.
Search-verified via official-domain content (www.hubangels.com) on 2026-08-11 (WebSearch). Direct official-page fetch was BLOCKED by this session's egress policy, so this is NOT a live-page confirmation. Confirm on the official page before relying. Source: https://www.hubangels.com/faq.html</t>
      </text>
    </comment>
    <comment ref="J22" authorId="0" shapeId="0">
      <text>
        <t>~$50k min pooled; commonly $75k-$250k per round.
Search-verified via official-domain content (tbdangels.com) on 2026-08-11 (WebSearch). Direct official-page fetch was BLOCKED by this session's egress policy, so this is NOT a live-page confirmation. Confirm on the official page before relying. Source: https://tbdangels.com/</t>
      </text>
    </comment>
    <comment ref="J23" authorId="0" shapeId="0">
      <text>
        <t>Up to ~$500k into pre-seed rounds.
Search-verified via official-domain content (precursorvc.com) on 2026-08-11 (WebSearch). Direct official-page fetch was BLOCKED by this session's egress policy, so this is NOT a live-page confirmation. Confirm on the official page before relying. Source: https://precursorvc.com/startup/</t>
      </text>
    </comment>
    <comment ref="J24" authorId="0" shapeId="0">
      <text>
        <t>$25k-$500k initial, sweet spot ~$150k.
Search-verified via official-domain content (www.hustlefund.vc) on 2026-08-11 (WebSearch). Direct official-page fetch was BLOCKED by this session's egress policy, so this is NOT a live-page confirmation. Confirm on the official page before relying. Source: https://www.hustlefund.vc/</t>
      </text>
    </comment>
    <comment ref="J25" authorId="0" shapeId="0">
      <text>
        <t>Check varies widely (often $1M+ seed; smaller for incubations) — unverified.
Search-verified via official-domain content (alleycorp.com) on 2026-08-11 (WebSearch). Direct official-page fetch was BLOCKED by this session's egress policy, so this is NOT a live-page confirmation. Confirm on the official page before relying. Source: https://alleycorp.com/</t>
      </text>
    </comment>
    <comment ref="J26" authorId="0" shapeId="0">
      <text>
        <t>Early checks up to ~$5M with follow-on — moot (ineligible).
Search-verified via official-domain content (www.e14.vc) on 2026-08-11 (WebSearch). Direct official-page fetch was BLOCKED by this session's egress policy, so this is NOT a live-page confirmation. Confirm on the official page before relying. Source: https://www.e14.vc/apply</t>
      </text>
    </comment>
    <comment ref="J27" authorId="0" shapeId="0">
      <text>
        <t>Pre-seed ~$500k-$1M (sweet spot ~$1M); up to ~$5M at seed.
Search-verified via official-domain content (underscore.vc) on 2026-08-11 (WebSearch). Direct official-page fetch was BLOCKED by this session's egress policy, so this is NOT a live-page confirmation. Confirm on the official page before relying. Source: https://underscore.vc/</t>
      </text>
    </comment>
    <comment ref="J28" authorId="0" shapeId="0">
      <text>
        <t>Standard $150k-for-equity cohort term (take-it structure).
Search-verified via official-domain content (jsf.co) on 2026-08-11 (WebSearch). Direct official-page fetch was BLOCKED by this session's egress policy, so this is NOT a live-page confirmation. Confirm on the official page before relying. Source: https://jsf.co/apply</t>
      </text>
    </comment>
    <comment ref="J29" authorId="0" shapeId="0">
      <text>
        <t>Current family-planning call up to $500k. The on-point vehicle is EVAH (Evidence for AI in Health): Pathway A up to $1M, Pathway B up to $3M — that round closed 1 Apr 2026.
Search-verified via official-domain content (gcgh.grandchallenges.org) on 2026-08-11 (WebSearch). Direct official-page fetch was BLOCKED by this session's egress policy, so this is NOT a live-page confirmation. Confirm on the official page before relying. Source: https://gcgh.grandchallenges.org/</t>
      </text>
    </comment>
    <comment ref="J30" authorId="0" shapeId="0">
      <text>
        <t>Discovery Award average ~£3.5M (GBP). Not a fit for a for-profit direct applicant.
Search-verified via official-domain content (wellcome.org) on 2026-08-11 (WebSearch). Direct official-page fetch was BLOCKED by this session's egress policy, so this is NOT a live-page confirmation. Confirm on the official page before relying. Source: https://wellcome.org/research-funding/schemes/wellcome-discovery-awards</t>
      </text>
    </comment>
    <comment ref="J31" authorId="0" shapeId="0">
      <text>
        <t>Accelerator cohort awards ~$125k; core grantmaking is invitation-only (no unsolicited proposals).
Search-verified via official-domain content (www.mcgovern.org) on 2026-08-11 (WebSearch). Direct official-page fetch was BLOCKED by this session's egress policy, so this is NOT a live-page confirmation. Confirm on the official page before relying. Source: https://www.mcgovern.org/grants/</t>
      </text>
    </comment>
    <comment ref="J32" authorId="0" shapeId="0">
      <text>
        <t>$300k over 3 years, milestone-based (search-derived).
Search-verified via official-domain content (www.drkfoundation.org) on 2026-08-11 (WebSearch). Direct official-page fetch was BLOCKED by this session's egress policy, so this is NOT a live-page confirmation. Confirm on the official page before relying. Source: https://www.drkfoundation.org/apply/</t>
      </text>
    </comment>
    <comment ref="J33" authorId="0" shapeId="0">
      <text>
        <t>No open call; amount varies by call and not confirmable.
Search-verified via official-domain content (www.fondationbotnar.org) on 2026-08-11 (WebSearch). Direct official-page fetch was BLOCKED by this session's egress policy, so this is NOT a live-page confirmation. Confirm on the official page before relying. Source: https://www.fondationbotnar.org/funding-opportunities/</t>
      </text>
    </comment>
    <comment ref="J34" authorId="0" shapeId="0">
      <text>
        <t>Nexa Proof-of-Concept up to ~$200k; Transition-to-Scale ~$250k-$2M (search-derived).
Search-verified via official-domain content (www.grandchallenges.ca) on 2026-08-11 (WebSearch). Direct official-page fetch was BLOCKED by this session's egress policy, so this is NOT a live-page confirmation. Confirm on the official page before relying. Source: https://www.grandchallenges.ca/apply-for-funding/</t>
      </text>
    </comment>
    <comment ref="J35" authorId="0" shapeId="0">
      <text>
        <t>Invitation-only grantmaking; no published amount / application route.
Search-verified via official-domain content (www.rockefellerfoundation.org) on 2026-08-11 (WebSearch). Direct official-page fetch was BLOCKED by this session's egress policy, so this is NOT a live-page confirmation. Confirm on the official page before relying. Source: https://www.rockefellerfoundation.org/grants/</t>
      </text>
    </comment>
    <comment ref="J36" authorId="0" shapeId="0">
      <text>
        <t>Program totals ~$50-55M; per-performer award varies. No clinical-AI RFP currently open.
Search-verified via official-domain content (wellcomeleap.org) on 2026-08-11 (WebSearch). Direct official-page fetch was BLOCKED by this session's egress policy, so this is NOT a live-page confirmation. Confirm on the official page before relying. Source: https://wellcomeleap.org/programs/</t>
      </text>
    </comment>
    <comment ref="J37" authorId="0" shapeId="0">
      <text>
        <t>Skoll Award ~$2M unrestricted over ~3 years; nomination-only.
Search-verified via official-domain content (skoll.org) on 2026-08-11 (WebSearch). Direct official-page fetch was BLOCKED by this session's egress policy, so this is NOT a live-page confirmation. Confirm on the official page before relying. Source: https://skoll.org/about/skoll-awards/</t>
      </text>
    </comment>
    <comment ref="J38" authorId="0" shapeId="0">
      <text>
        <t>Rainer Arnhold Fellowship ~$100k unrestricted up front; fellows considered for further Mulago funding.
Search-verified via official-domain content (www.mulagofoundation.org) on 2026-08-11 (WebSearch). Direct official-page fetch was BLOCKED by this session's egress policy, so this is NOT a live-page confirmation. Confirm on the official page before relying. Source: https://www.mulagofoundation.org/</t>
      </text>
    </comment>
    <comment ref="J39" authorId="0" shapeId="0">
      <text>
        <t>Up to $10M/grant across 3 tiers (exploratory &lt;$100k; standard $100k-$1M; large $1M-$10M); $10-30M total across the RFP.
Search-verified via official-domain content (coefficientgiving.org) on 2026-08-11 (WebSearch). Direct official-page fetch was BLOCKED by this session's egress policy, so this is NOT a live-page confirmation. Confirm on the official page before relying. Source: https://coefficientgiving.org/funds/global-health-wellbeing-opportunities/request-for-proposals-global-health-and-wellbeing-in-an-era-of-transformative-ai/</t>
      </text>
    </comment>
    <comment ref="J40" authorId="0" shapeId="0">
      <text>
        <t>First check ~$1-3M (seed); pre-seed done selectively.
Search-verified via official-domain content (www.zettavp.com) on 2026-08-11 (WebSearch). Direct official-page fetch was BLOCKED by this session's egress policy - NOT a live-page confirmation. Confirm before relying. Source: https://www.zettavp.com/</t>
      </text>
    </comment>
    <comment ref="J41" authorId="0" shapeId="0">
      <text>
        <t>EUR250K-EUR1.5M initial (EUR-denominated fund).
Search-verified via official-domain content (www.nina.capital) on 2026-08-11 (WebSearch). Direct official-page fetch was BLOCKED by this session's egress policy - NOT a live-page confirmation. Confirm before relying. Source: https://www.nina.capital/</t>
      </text>
    </comment>
    <comment ref="J42" authorId="0" shapeId="0">
      <text>
        <t>$250K-$750K (Fast Track); up to $3M broader pre-seed/seed.
Search-verified via official-domain content (www.2048.vc) on 2026-08-11 (WebSearch). Direct official-page fetch was BLOCKED by this session's egress policy - NOT a live-page confirmation. Confirm before relying. Source: https://www.2048.vc/</t>
      </text>
    </comment>
    <comment ref="J43" authorId="0" shapeId="0">
      <text>
        <t>$750K-$3M initial.
Search-verified via official-domain content (www.aixventures.com) on 2026-08-11 (WebSearch). Direct official-page fetch was BLOCKED by this session's egress policy - NOT a live-page confirmation. Confirm before relying. Source: https://www.aixventures.com/</t>
      </text>
    </comment>
    <comment ref="J44" authorId="0" shapeId="0">
      <text>
        <t>$250K-$500K (pre-seed, selective).
Search-verified via official-domain content (www.basisset.com) on 2026-08-11 (WebSearch). Direct official-page fetch was BLOCKED by this session's egress policy - NOT a live-page confirmation. Confirm before relying. Source: https://www.basisset.com/</t>
      </text>
    </comment>
    <comment ref="J45" authorId="0" shapeId="0">
      <text>
        <t>$500K-$5M at pre-seed/seed.
Search-verified via official-domain content (www.airstreet.com) on 2026-08-11 (WebSearch). Direct official-page fetch was BLOCKED by this session's egress policy - NOT a live-page confirmation. Confirm before relying. Source: https://www.airstreet.com/</t>
      </text>
    </comment>
    <comment ref="J46" authorId="0" shapeId="0">
      <text>
        <t>$500,000 standard SAFE ($125K/7% + $375K uncapped).
Search-verified via official-domain content (www.ycombinator.com) on 2026-08-11 (WebSearch). Direct official-page fetch was BLOCKED by this session's egress policy - NOT a live-page confirmation. Confirm before relying. Source: https://www.ycombinator.com/apply</t>
      </text>
    </comment>
    <comment ref="J47" authorId="0" shapeId="0">
      <text>
        <t>$50K-$2M+ (flexible pre-seed range).
Search-verified via official-domain content (www.afore.vc) on 2026-08-11 (WebSearch). Direct official-page fetch was BLOCKED by this session's egress policy - NOT a live-page confirmation. Confirm before relying. Source: https://www.afore.vc/pitch</t>
      </text>
    </comment>
    <comment ref="J48" authorId="0" shapeId="0">
      <text>
        <t>$500K-$2M (pre-seed); $1-3M seed.
Search-verified via official-domain content (www.susaventures.com) on 2026-08-11 (WebSearch). Direct official-page fetch was BLOCKED by this session's egress policy - NOT a live-page confirmation. Confirm before relying. Source: https://www.susaventures.com/</t>
      </text>
    </comment>
    <comment ref="J49" authorId="0" shapeId="0">
      <text>
        <t>$500K-$3M (Velocity pre-seed up to $1M).
Search-verified via official-domain content (www.villageglobal.com) on 2026-08-11 (WebSearch). Direct official-page fetch was BLOCKED by this session's egress policy - NOT a live-page confirmation. Confirm before relying. Source: https://www.villageglobal.com/velocity</t>
      </text>
    </comment>
    <comment ref="J50" authorId="0" shapeId="0">
      <text>
        <t>$150K-$500K.
Search-verified via official-domain content (www.january.ventures) on 2026-08-11 (WebSearch). Direct official-page fetch was BLOCKED by this session's egress policy - NOT a live-page confirmation. Confirm before relying. Source: https://www.january.ventures/</t>
      </text>
    </comment>
    <comment ref="J51" authorId="0" shapeId="0">
      <text>
        <t>~$5K-$50K per group; members join larger rounds.
Search-verified via official-domain content (www.broadway-angels.com) on 2026-08-11 (WebSearch). Direct official-page fetch was BLOCKED by this session's egress policy - NOT a live-page confirmation. Confirm before relying. Source: https://www.broadway-angels.com/</t>
      </text>
    </comment>
    <comment ref="J52" authorId="0" shapeId="0">
      <text>
        <t>Link could not be opened in this session: share.google redirect blocked by egress policy on 2026-09-22. Paste the destination URL or the grant name so it can be verified and scored. Source (unresolved): https://share.google/9zSHYE5KA0gu5XX5V</t>
      </text>
    </comment>
    <comment ref="J53" authorId="0" shapeId="0">
      <text>
        <t>Link could not be opened in this session: share.google redirect blocked by egress policy on 2026-09-22. Paste the destination URL or the grant name so it can be verified and scored. Source (unresolved): https://share.google/s7xWCT7crmTazEj7t</t>
      </text>
    </comment>
    <comment ref="J54" authorId="0" shapeId="0">
      <text>
        <t>Link could not be opened in this session: share.google redirect blocked by egress policy on 2026-09-22. Paste the destination URL or the grant name so it can be verified and scored. Source (unresolved): https://share.google/AM8yfJTwPWBEThxfl</t>
      </text>
    </comment>
    <comment ref="J55" authorId="0" shapeId="0">
      <text>
        <t>Link could not be opened in this session: share.google redirect blocked by egress policy on 2026-09-22. Paste the destination URL or the grant name so it can be verified and scored. Source (unresolved): https://share.google/1mw6JD6kJkYIlH9TR</t>
      </text>
    </comment>
    <comment ref="J56" authorId="0" shapeId="0">
      <text>
        <t>Link could not be opened in this session: share.google redirect blocked by egress policy on 2026-09-22. Paste the destination URL or the grant name so it can be verified and scored. Source (unresolved): https://share.google/CerWenXESJ13cRnhZ</t>
      </text>
    </comment>
    <comment ref="J57" authorId="0" shapeId="0">
      <text>
        <t>Link could not be opened in this session: share.google redirect blocked by egress policy on 2026-09-22. Paste the destination URL or the grant name so it can be verified and scored. Source (unresolved): https://share.google/SQdBs8RhlxauVQNqX</t>
      </text>
    </comment>
    <comment ref="J58" authorId="0" shapeId="0">
      <text>
        <t>Link could not be opened in this session: share.google redirect blocked by egress policy on 2026-09-22. Paste the destination URL or the grant name so it can be verified and scored. Source (unresolved): https://share.google/6WnqpweYBP2E7sbhw</t>
      </text>
    </comment>
    <comment ref="J59" authorId="0" shapeId="0">
      <text>
        <t>Link could not be opened in this session: share.google redirect blocked by egress policy on 2026-09-22. Paste the destination URL or the grant name so it can be verified and scored. Source (unresolved): https://share.google/xRA7UAMRJAnQkyusM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62" customWidth="1" min="2" max="2"/>
    <col width="8" customWidth="1" min="3" max="3"/>
  </cols>
  <sheetData>
    <row r="1" ht="18" customHeight="1">
      <c r="A1" s="1" t="inlineStr">
        <is>
          <t>Non-Dilutive Funding Dashboard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Total opportunities</t>
        </is>
      </c>
      <c r="B4" s="3">
        <f>COUNTA('Funding Dashboard'!B2:B500)</f>
        <v/>
      </c>
    </row>
    <row r="5">
      <c r="A5" s="3" t="inlineStr">
        <is>
          <t>Researching</t>
        </is>
      </c>
      <c r="B5" s="3">
        <f>COUNTIF('Funding Dashboard'!L2:L500,"Researching")</f>
        <v/>
      </c>
    </row>
    <row r="6">
      <c r="A6" s="3" t="inlineStr">
        <is>
          <t>Eligible</t>
        </is>
      </c>
      <c r="B6" s="3">
        <f>COUNTIF('Funding Dashboard'!L2:L500,"Eligible")</f>
        <v/>
      </c>
    </row>
    <row r="7">
      <c r="A7" s="3" t="inlineStr">
        <is>
          <t>Not eligible</t>
        </is>
      </c>
      <c r="B7" s="3">
        <f>COUNTIF('Funding Dashboard'!L2:L500,"Not eligible")</f>
        <v/>
      </c>
    </row>
    <row r="8">
      <c r="A8" s="3" t="inlineStr">
        <is>
          <t>Drafting</t>
        </is>
      </c>
      <c r="B8" s="3">
        <f>COUNTIF('Funding Dashboard'!L2:L500,"Drafting")</f>
        <v/>
      </c>
    </row>
    <row r="9">
      <c r="A9" s="3" t="inlineStr">
        <is>
          <t>Submitted</t>
        </is>
      </c>
      <c r="B9" s="3">
        <f>COUNTIF('Funding Dashboard'!L2:L500,"Submitted")</f>
        <v/>
      </c>
    </row>
    <row r="10">
      <c r="A10" s="3" t="inlineStr">
        <is>
          <t>Won</t>
        </is>
      </c>
      <c r="B10" s="3">
        <f>COUNTIF('Funding Dashboard'!L2:L500,"Won")</f>
        <v/>
      </c>
    </row>
    <row r="11">
      <c r="A11" s="3" t="inlineStr">
        <is>
          <t>Dead</t>
        </is>
      </c>
      <c r="B11" s="3">
        <f>COUNTIF('Funding Dashboard'!L2:L500,"Dead")</f>
        <v/>
      </c>
    </row>
    <row r="12">
      <c r="A12" s="3" t="inlineStr">
        <is>
          <t>Average fit score</t>
        </is>
      </c>
      <c r="B12" s="3">
        <f>IFERROR(ROUND(AVERAGE('Funding Dashboard'!I2:I500),2),"")</f>
        <v/>
      </c>
    </row>
    <row r="14">
      <c r="A14" s="2" t="inlineStr">
        <is>
          <t>Workstream</t>
        </is>
      </c>
      <c r="B14" s="2" t="inlineStr">
        <is>
          <t>Focus</t>
        </is>
      </c>
      <c r="C14" s="2" t="inlineStr">
        <is>
          <t>Rows</t>
        </is>
      </c>
    </row>
    <row r="15">
      <c r="A15" s="3" t="n">
        <v>1</v>
      </c>
      <c r="B15" s="3" t="inlineStr">
        <is>
          <t>US ecosystem grants / accelerators + Massachusetts SBDC advising</t>
        </is>
      </c>
      <c r="C15" s="3">
        <f>COUNTIF('Funding Dashboard'!A2:A500,1)</f>
        <v/>
      </c>
    </row>
    <row r="16">
      <c r="A16" s="3" t="n">
        <v>2</v>
      </c>
      <c r="B16" s="3" t="inlineStr">
        <is>
          <t>Pre-revenue angel investors and pre-seed funds</t>
        </is>
      </c>
      <c r="C16" s="3">
        <f>COUNTIF('Funding Dashboard'!A2:A500,2)</f>
        <v/>
      </c>
    </row>
    <row r="17">
      <c r="A17" s="3" t="n">
        <v>3</v>
      </c>
      <c r="B17" s="3" t="inlineStr">
        <is>
          <t>Philanthropic funders aligned with Penda / WHO angle</t>
        </is>
      </c>
      <c r="C17" s="3">
        <f>COUNTIF('Funding Dashboard'!A2:A500,3)</f>
        <v/>
      </c>
    </row>
    <row r="18">
      <c r="A18" s="15" t="inlineStr">
        <is>
          <t>Triage</t>
        </is>
      </c>
      <c r="B18" s="16" t="inlineStr">
        <is>
          <t>Unidentified grant links (share.google) - to resolve &amp; categorize</t>
        </is>
      </c>
      <c r="C18" s="15">
        <f>COUNTIF('Funding Dashboard'!A2:A500,"Triage")</f>
        <v/>
      </c>
    </row>
    <row r="19">
      <c r="A19" s="8" t="inlineStr">
        <is>
          <t>Data note (verification)</t>
        </is>
      </c>
    </row>
    <row r="20">
      <c r="A20" s="9" t="inlineStr">
        <is>
          <t>This session's egress policy blocked direct WebFetch of official program pages, so the protocol-required live-page verification could not be completed. Every amount, deadline and rule was search-verified against official-domain content on 2026-08-11 and is labelled in a comment on each Deadline cell - it is NOT a live-page confirmation. Each row's official URL is in the Link column; confirm before relying, starting with the 21 Aug 2026 Coefficient Giving deadline.</t>
        </is>
      </c>
    </row>
    <row r="21"/>
    <row r="22"/>
    <row r="23"/>
    <row r="24"/>
  </sheetData>
  <mergeCells count="1">
    <mergeCell ref="A20:C2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1" customWidth="1" min="1" max="1"/>
    <col width="32" customWidth="1" min="2" max="2"/>
    <col width="22" customWidth="1" min="3" max="3"/>
    <col width="20" customWidth="1" min="4" max="4"/>
    <col width="18" customWidth="1" min="5" max="5"/>
    <col width="12" customWidth="1" min="6" max="6"/>
    <col width="9" customWidth="1" min="7" max="7"/>
    <col width="44" customWidth="1" min="8" max="8"/>
    <col width="10" customWidth="1" min="9" max="9"/>
    <col width="14" customWidth="1" min="10" max="10"/>
    <col width="12" customWidth="1" min="11" max="11"/>
    <col width="13" customWidth="1" min="12" max="12"/>
    <col width="12" customWidth="1" min="13" max="13"/>
    <col width="44" customWidth="1" min="14" max="14"/>
    <col width="32" customWidth="1" min="15" max="15"/>
  </cols>
  <sheetData>
    <row r="1" ht="42" customHeight="1">
      <c r="A1" s="4" t="inlineStr">
        <is>
          <t>Workstream</t>
        </is>
      </c>
      <c r="B1" s="4" t="inlineStr">
        <is>
          <t>Grant / Opportunity</t>
        </is>
      </c>
      <c r="C1" s="4" t="inlineStr">
        <is>
          <t>Funder</t>
        </is>
      </c>
      <c r="D1" s="4" t="inlineStr">
        <is>
          <t>Type</t>
        </is>
      </c>
      <c r="E1" s="4" t="inlineStr">
        <is>
          <t>Geography</t>
        </is>
      </c>
      <c r="F1" s="4" t="inlineStr">
        <is>
          <t>Max Amount</t>
        </is>
      </c>
      <c r="G1" s="4" t="inlineStr">
        <is>
          <t>Currency</t>
        </is>
      </c>
      <c r="H1" s="4" t="inlineStr">
        <is>
          <t>Eligibility Constraints (incorporation, ownership, visa)</t>
        </is>
      </c>
      <c r="I1" s="4" t="inlineStr">
        <is>
          <t>Fit Score (1-5)</t>
        </is>
      </c>
      <c r="J1" s="4" t="inlineStr">
        <is>
          <t>Deadline</t>
        </is>
      </c>
      <c r="K1" s="4" t="inlineStr">
        <is>
          <t>Estimated Hours to Apply</t>
        </is>
      </c>
      <c r="L1" s="4" t="inlineStr">
        <is>
          <t>Status</t>
        </is>
      </c>
      <c r="M1" s="4" t="inlineStr">
        <is>
          <t>Owner</t>
        </is>
      </c>
      <c r="N1" s="4" t="inlineStr">
        <is>
          <t>Next Action</t>
        </is>
      </c>
      <c r="O1" s="4" t="inlineStr">
        <is>
          <t>Link</t>
        </is>
      </c>
    </row>
    <row r="2" ht="28" customHeight="1">
      <c r="A2" s="5" t="n">
        <v>1</v>
      </c>
      <c r="B2" s="5" t="inlineStr">
        <is>
          <t>President's Innovation Challenge</t>
        </is>
      </c>
      <c r="C2" s="5" t="inlineStr">
        <is>
          <t>Harvard Innovation Labs</t>
        </is>
      </c>
      <c r="D2" s="5" t="inlineStr">
        <is>
          <t>Grant / Competition</t>
        </is>
      </c>
      <c r="E2" s="5" t="inlineStr">
        <is>
          <t>US - Massachusetts</t>
        </is>
      </c>
      <c r="F2" s="6" t="n">
        <v>75000</v>
      </c>
      <c r="G2" s="5" t="inlineStr">
        <is>
          <t>USD</t>
        </is>
      </c>
      <c r="H2" s="5" t="inlineStr">
        <is>
          <t>Harvard students (all schools) + select alumni/affiliates; founder is a matriculated DrPH student = eligible. Equity-free competition. No US-entity or specific visa required to apply (F-1 prize/tax implications to check separately).</t>
        </is>
      </c>
      <c r="I2" s="6" t="n">
        <v>4</v>
      </c>
      <c r="J2" s="6" t="inlineStr">
        <is>
          <t>No open call (watch ~fall 2026 for 2027 cycle)</t>
        </is>
      </c>
      <c r="K2" s="6" t="inlineStr">
        <is>
          <t>12-20</t>
        </is>
      </c>
      <c r="L2" s="5" t="inlineStr">
        <is>
          <t>Researching</t>
        </is>
      </c>
      <c r="M2" s="6" t="inlineStr">
        <is>
          <t>Lara</t>
        </is>
      </c>
      <c r="N2" s="5" t="inlineStr">
        <is>
          <t>Watch for 2027 PIC launch (~fall 2026); confirm open date and prize amounts on official page.</t>
        </is>
      </c>
      <c r="O2" s="5" t="inlineStr">
        <is>
          <t>https://innovationlabs.harvard.edu/presidents-innovation-challenge</t>
        </is>
      </c>
    </row>
    <row r="3" ht="28" customHeight="1">
      <c r="A3" s="5" t="n">
        <v>1</v>
      </c>
      <c r="B3" s="5" t="inlineStr">
        <is>
          <t>i-Lab Venture Program / Grants</t>
        </is>
      </c>
      <c r="C3" s="5" t="inlineStr">
        <is>
          <t>Harvard Innovation Labs</t>
        </is>
      </c>
      <c r="D3" s="5" t="inlineStr">
        <is>
          <t>Grant / Program</t>
        </is>
      </c>
      <c r="E3" s="5" t="inlineStr">
        <is>
          <t>US - Massachusetts</t>
        </is>
      </c>
      <c r="F3" s="6" t="n"/>
      <c r="G3" s="5" t="inlineStr">
        <is>
          <t>USD</t>
        </is>
      </c>
      <c r="H3" s="5" t="inlineStr">
        <is>
          <t>Matriculated Harvard student / affiliate = eligible; no incorporation required to join. Equity-free (incubation + Spark/SIFF grants); Allston Venture Fund is dilutive (SAFE) — keep out of this workstream.</t>
        </is>
      </c>
      <c r="I3" s="6" t="n">
        <v>4</v>
      </c>
      <c r="J3" s="6" t="inlineStr">
        <is>
          <t>Rolling (termly intake)</t>
        </is>
      </c>
      <c r="K3" s="6" t="inlineStr">
        <is>
          <t>3-6</t>
        </is>
      </c>
      <c r="L3" s="5" t="inlineStr">
        <is>
          <t>Eligible</t>
        </is>
      </c>
      <c r="M3" s="6" t="inlineStr">
        <is>
          <t>Lara</t>
        </is>
      </c>
      <c r="N3" s="5" t="inlineStr">
        <is>
          <t>Apply to Student i-Lab Venture Incubation Program for the current term; confirm term deadline on official page.</t>
        </is>
      </c>
      <c r="O3" s="5" t="inlineStr">
        <is>
          <t>https://innovationlabs.harvard.edu/resources/funding-opportunities</t>
        </is>
      </c>
    </row>
    <row r="4" ht="28" customHeight="1">
      <c r="A4" s="5" t="n">
        <v>1</v>
      </c>
      <c r="B4" s="5" t="inlineStr">
        <is>
          <t>Navab Social Impact Fellowship Fund</t>
        </is>
      </c>
      <c r="C4" s="5" t="inlineStr">
        <is>
          <t>Harvard Innovation Labs</t>
        </is>
      </c>
      <c r="D4" s="5" t="inlineStr">
        <is>
          <t>Grant</t>
        </is>
      </c>
      <c r="E4" s="5" t="inlineStr">
        <is>
          <t>US - Massachusetts</t>
        </is>
      </c>
      <c r="F4" s="6" t="n">
        <v>15000</v>
      </c>
      <c r="G4" s="5" t="inlineStr">
        <is>
          <t>USD</t>
        </is>
      </c>
      <c r="H4" s="5" t="inlineStr">
        <is>
          <t>Active founder must be a matriculated Harvard student/postdoc/clinical fellow = eligible. Equity-free. Public-health/social-impact sector = strong fit. Reportedly one pitch per venture — time it well. No incorporation required.</t>
        </is>
      </c>
      <c r="I4" s="6" t="n">
        <v>5</v>
      </c>
      <c r="J4" s="6" t="inlineStr">
        <is>
          <t>No open call (watch Fall 2026 pitch day)</t>
        </is>
      </c>
      <c r="K4" s="6" t="inlineStr">
        <is>
          <t>8-15</t>
        </is>
      </c>
      <c r="L4" s="5" t="inlineStr">
        <is>
          <t>Researching</t>
        </is>
      </c>
      <c r="M4" s="6" t="inlineStr">
        <is>
          <t>Lara</t>
        </is>
      </c>
      <c r="N4" s="5" t="inlineStr">
        <is>
          <t>Watch for the Fall 2026 SIFF pitch-day call; confirm deadline and grant cap with i-Lab staff.</t>
        </is>
      </c>
      <c r="O4" s="5" t="inlineStr">
        <is>
          <t>https://innovationlabs.harvard.edu/funding-opportunities/social-impact</t>
        </is>
      </c>
    </row>
    <row r="5" ht="28" customHeight="1">
      <c r="A5" s="5" t="n">
        <v>1</v>
      </c>
      <c r="B5" s="5" t="inlineStr">
        <is>
          <t>Harvard HealthLab Accelerator (next cohort)</t>
        </is>
      </c>
      <c r="C5" s="5" t="inlineStr">
        <is>
          <t>Harvard HealthLab</t>
        </is>
      </c>
      <c r="D5" s="5" t="inlineStr">
        <is>
          <t>Accelerator / Seed funding</t>
        </is>
      </c>
      <c r="E5" s="5" t="inlineStr">
        <is>
          <t>US - Massachusetts</t>
        </is>
      </c>
      <c r="F5" s="6" t="n">
        <v>1000</v>
      </c>
      <c r="G5" s="5" t="inlineStr">
        <is>
          <t>USD</t>
        </is>
      </c>
      <c r="H5" s="5" t="inlineStr">
        <is>
          <t>Enrolled Harvard student team lead = eligible; public/planetary-health focus = home program (SafeAI is HealthLab-incubated). Equity-free. No incorporation required. Confirm alumni re-entry rules.</t>
        </is>
      </c>
      <c r="I5" s="6" t="n">
        <v>5</v>
      </c>
      <c r="J5" s="6" t="inlineStr">
        <is>
          <t>No open call (watch Fall 2026 cohort)</t>
        </is>
      </c>
      <c r="K5" s="6" t="inlineStr">
        <is>
          <t>4-8</t>
        </is>
      </c>
      <c r="L5" s="5" t="inlineStr">
        <is>
          <t>Researching</t>
        </is>
      </c>
      <c r="M5" s="6" t="inlineStr">
        <is>
          <t>Lara</t>
        </is>
      </c>
      <c r="N5" s="5" t="inlineStr">
        <is>
          <t>Confirm Fall 2026 cohort deadline and alumni re-entry rules directly with HealthLab/LPCE staff.</t>
        </is>
      </c>
      <c r="O5" s="5" t="inlineStr">
        <is>
          <t>https://www.healthlabaccelerator.harvard.edu/</t>
        </is>
      </c>
    </row>
    <row r="6" ht="28" customHeight="1">
      <c r="A6" s="5" t="n">
        <v>1</v>
      </c>
      <c r="B6" s="5" t="inlineStr">
        <is>
          <t>HealthLab Follow-on Funding</t>
        </is>
      </c>
      <c r="C6" s="5" t="inlineStr">
        <is>
          <t>Harvard HealthLab</t>
        </is>
      </c>
      <c r="D6" s="5" t="inlineStr">
        <is>
          <t>Follow-on funding</t>
        </is>
      </c>
      <c r="E6" s="5" t="inlineStr">
        <is>
          <t>US - Massachusetts</t>
        </is>
      </c>
      <c r="F6" s="6" t="n"/>
      <c r="G6" s="5" t="inlineStr">
        <is>
          <t>USD</t>
        </is>
      </c>
      <c r="H6" s="5" t="inlineStr">
        <is>
          <t>No distinct published follow-on fund found; any follow-on likely flows through HealthLab cohort participation / Venture Board. Unverified — confirm with staff.</t>
        </is>
      </c>
      <c r="I6" s="6" t="n">
        <v>2</v>
      </c>
      <c r="J6" s="6" t="inlineStr">
        <is>
          <t>Unknown (no open call identified)</t>
        </is>
      </c>
      <c r="K6" s="6" t="n"/>
      <c r="L6" s="5" t="inlineStr">
        <is>
          <t>Researching</t>
        </is>
      </c>
      <c r="M6" s="6" t="inlineStr">
        <is>
          <t>Lara</t>
        </is>
      </c>
      <c r="N6" s="5" t="inlineStr">
        <is>
          <t>Email HealthLab/LPCE staff to confirm whether a current follow-on fund exists (amount, terms, eligibility).</t>
        </is>
      </c>
      <c r="O6" s="5" t="inlineStr">
        <is>
          <t>https://www.healthlabaccelerator.harvard.edu/venture-board</t>
        </is>
      </c>
    </row>
    <row r="7" ht="28" customHeight="1">
      <c r="A7" s="5" t="n">
        <v>1</v>
      </c>
      <c r="B7" s="5" t="inlineStr">
        <is>
          <t>MassChallenge HealthTech</t>
        </is>
      </c>
      <c r="C7" s="5" t="inlineStr">
        <is>
          <t>MassChallenge</t>
        </is>
      </c>
      <c r="D7" s="5" t="inlineStr">
        <is>
          <t>Accelerator (equity-free)</t>
        </is>
      </c>
      <c r="E7" s="5" t="inlineStr">
        <is>
          <t>US - Massachusetts</t>
        </is>
      </c>
      <c r="F7" s="6" t="n"/>
      <c r="G7" s="5" t="inlineStr">
        <is>
          <t>USD</t>
        </is>
      </c>
      <c r="H7" s="5" t="inlineStr">
        <is>
          <t>Equity-free; incorporation NOT required to apply (historically required to RECEIVE cash awards in some geos — verify). No founder-visa bar. Current Healthcare track skews to validated/scaling products; Early-Stage track fits pre-revenue better.</t>
        </is>
      </c>
      <c r="I7" s="6" t="n">
        <v>3</v>
      </c>
      <c r="J7" s="6" t="inlineStr">
        <is>
          <t>No open call (2026 Healthcare Challenge closed; next cohort TBD)</t>
        </is>
      </c>
      <c r="K7" s="6" t="inlineStr">
        <is>
          <t>8-15</t>
        </is>
      </c>
      <c r="L7" s="5" t="inlineStr">
        <is>
          <t>Researching</t>
        </is>
      </c>
      <c r="M7" s="6" t="inlineStr">
        <is>
          <t>Lara</t>
        </is>
      </c>
      <c r="N7" s="5" t="inlineStr">
        <is>
          <t>Confirm next HealthTech cohort dates and whether to target the Early-Stage (pre-revenue) track on the official page.</t>
        </is>
      </c>
      <c r="O7" s="5" t="inlineStr">
        <is>
          <t>https://masschallenge.org/programs-healthtech/</t>
        </is>
      </c>
    </row>
    <row r="8" ht="28" customHeight="1">
      <c r="A8" s="5" t="n">
        <v>1</v>
      </c>
      <c r="B8" s="5" t="inlineStr">
        <is>
          <t>MIT Solve (relevant Global Challenge)</t>
        </is>
      </c>
      <c r="C8" s="5" t="inlineStr">
        <is>
          <t>MIT Solve</t>
        </is>
      </c>
      <c r="D8" s="5" t="inlineStr">
        <is>
          <t>Challenge / Grant</t>
        </is>
      </c>
      <c r="E8" s="5" t="inlineStr">
        <is>
          <t>Global</t>
        </is>
      </c>
      <c r="F8" s="6" t="n">
        <v>100000</v>
      </c>
      <c r="G8" s="5" t="inlineStr">
        <is>
          <t>USD</t>
        </is>
      </c>
      <c r="H8" s="5" t="inlineStr">
        <is>
          <t>Open globally to for-profit and nonprofit; no incorporation strictly required. For-profit entrants 'preferred to have secured seed funding or beyond' — disadvantages pre-revenue. No visa bar.</t>
        </is>
      </c>
      <c r="I8" s="6" t="n">
        <v>3</v>
      </c>
      <c r="J8" s="6" t="inlineStr">
        <is>
          <t>No open call (2026 flagship closed 21 May 2026)</t>
        </is>
      </c>
      <c r="K8" s="6" t="inlineStr">
        <is>
          <t>10-25</t>
        </is>
      </c>
      <c r="L8" s="5" t="inlineStr">
        <is>
          <t>Researching</t>
        </is>
      </c>
      <c r="M8" s="6" t="inlineStr">
        <is>
          <t>Lara</t>
        </is>
      </c>
      <c r="N8" s="5" t="inlineStr">
        <is>
          <t>Confirm next Global Challenge open date and check for any currently-open health/AI challenge on the official page.</t>
        </is>
      </c>
      <c r="O8" s="5" t="inlineStr">
        <is>
          <t>https://solve.mit.edu/challenges</t>
        </is>
      </c>
    </row>
    <row r="9" ht="28" customHeight="1">
      <c r="A9" s="5" t="n">
        <v>1</v>
      </c>
      <c r="B9" s="5" t="inlineStr">
        <is>
          <t>MLSC Impact / Catalyst programs</t>
        </is>
      </c>
      <c r="C9" s="5" t="inlineStr">
        <is>
          <t>Massachusetts Life Sciences Center</t>
        </is>
      </c>
      <c r="D9" s="5" t="inlineStr">
        <is>
          <t>Non-dilutive grant</t>
        </is>
      </c>
      <c r="E9" s="5" t="inlineStr">
        <is>
          <t>US - Massachusetts</t>
        </is>
      </c>
      <c r="F9" s="6" t="n">
        <v>250000</v>
      </c>
      <c r="G9" s="5" t="inlineStr">
        <is>
          <t>USD</t>
        </is>
      </c>
      <c r="H9" s="5" t="inlineStr">
        <is>
          <t>Requires a Massachusetts life-sciences company AND committed private investors in a first institutional seed round. SafeAI is pre-incorporation and pre-financing = cannot meet now. Also confirm clinical-AI software counts as 'life sciences'.</t>
        </is>
      </c>
      <c r="I9" s="6" t="n">
        <v>2</v>
      </c>
      <c r="J9" s="6" t="inlineStr">
        <is>
          <t>Closed 12 Jun 2026 (watch next cycle)</t>
        </is>
      </c>
      <c r="K9" s="6" t="inlineStr">
        <is>
          <t>15-30</t>
        </is>
      </c>
      <c r="L9" s="5" t="inlineStr">
        <is>
          <t>Not eligible</t>
        </is>
      </c>
      <c r="M9" s="6" t="inlineStr">
        <is>
          <t>Lara</t>
        </is>
      </c>
      <c r="N9" s="5" t="inlineStr">
        <is>
          <t>Park until MA-incorporated with committed seed investors; confirm program scope covers clinical-AI software.</t>
        </is>
      </c>
      <c r="O9" s="5" t="inlineStr">
        <is>
          <t>https://www.masslifesciences.com/programs/</t>
        </is>
      </c>
    </row>
    <row r="10" ht="28" customHeight="1">
      <c r="A10" s="5" t="n">
        <v>1</v>
      </c>
      <c r="B10" s="5" t="inlineStr">
        <is>
          <t>MassNextGen</t>
        </is>
      </c>
      <c r="C10" s="5" t="inlineStr">
        <is>
          <t>Massachusetts Life Sciences Center</t>
        </is>
      </c>
      <c r="D10" s="5" t="inlineStr">
        <is>
          <t>Entrepreneur support / award</t>
        </is>
      </c>
      <c r="E10" s="5" t="inlineStr">
        <is>
          <t>US - Massachusetts</t>
        </is>
      </c>
      <c r="F10" s="6" t="n"/>
      <c r="G10" s="5" t="inlineStr">
        <is>
          <t>USD</t>
        </is>
      </c>
      <c r="H10" s="5" t="inlineStr">
        <is>
          <t>Woman/underrepresented-led early-stage MA life-sciences company. Confirm founder meets the women-in-C-suite criterion and whether clinical-AI software qualifies as life sciences. Likely expects an existing MA entity.</t>
        </is>
      </c>
      <c r="I10" s="6" t="n">
        <v>2</v>
      </c>
      <c r="J10" s="6" t="inlineStr">
        <is>
          <t>Closed 12 Jun 2026 (watch next cycle)</t>
        </is>
      </c>
      <c r="K10" s="6" t="inlineStr">
        <is>
          <t>10-20</t>
        </is>
      </c>
      <c r="L10" s="5" t="inlineStr">
        <is>
          <t>Not eligible</t>
        </is>
      </c>
      <c r="M10" s="6" t="inlineStr">
        <is>
          <t>Lara</t>
        </is>
      </c>
      <c r="N10" s="5" t="inlineStr">
        <is>
          <t>Confirm women-led eligibility and life-sciences scope; watch for the next cycle.</t>
        </is>
      </c>
      <c r="O10" s="5" t="inlineStr">
        <is>
          <t>https://www.masslifesciences.com/programs/massnextgen/</t>
        </is>
      </c>
    </row>
    <row r="11" ht="28" customHeight="1">
      <c r="A11" s="5" t="n">
        <v>1</v>
      </c>
      <c r="B11" s="5" t="inlineStr">
        <is>
          <t>MassVentures START (later, post-SBIR)</t>
        </is>
      </c>
      <c r="C11" s="5" t="inlineStr">
        <is>
          <t>MassVentures</t>
        </is>
      </c>
      <c r="D11" s="5" t="inlineStr">
        <is>
          <t>Grant (SBIR follow-on)</t>
        </is>
      </c>
      <c r="E11" s="5" t="inlineStr">
        <is>
          <t>US - Massachusetts</t>
        </is>
      </c>
      <c r="F11" s="6" t="n">
        <v>500000</v>
      </c>
      <c r="G11" s="5" t="inlineStr">
        <is>
          <t>USD</t>
        </is>
      </c>
      <c r="H11" s="5" t="inlineStr">
        <is>
          <t>Requires an MA company doing R&amp;D primarily in MA AND an existing federal SBIR/STTR award. SafeAI has neither = not eligible now. Confirmed later-stage, post-incorporation, post-SBIR follow-on.</t>
        </is>
      </c>
      <c r="I11" s="6" t="n">
        <v>1</v>
      </c>
      <c r="J11" s="6" t="inlineStr">
        <is>
          <t>Periodic rounds (post-incorporation)</t>
        </is>
      </c>
      <c r="K11" s="6" t="inlineStr">
        <is>
          <t>20-40</t>
        </is>
      </c>
      <c r="L11" s="5" t="inlineStr">
        <is>
          <t>Not eligible</t>
        </is>
      </c>
      <c r="M11" s="6" t="inlineStr">
        <is>
          <t>Lara</t>
        </is>
      </c>
      <c r="N11" s="5" t="inlineStr">
        <is>
          <t>Park until MA-incorporated and holding a federal SBIR/STTR award.</t>
        </is>
      </c>
      <c r="O11" s="5" t="inlineStr">
        <is>
          <t>https://www.mass-ventures.com/start-program-info</t>
        </is>
      </c>
    </row>
    <row r="12" ht="28" customHeight="1">
      <c r="A12" s="5" t="n">
        <v>1</v>
      </c>
      <c r="B12" s="5" t="inlineStr">
        <is>
          <t>Nucleate Activator</t>
        </is>
      </c>
      <c r="C12" s="5" t="inlineStr">
        <is>
          <t>Nucleate</t>
        </is>
      </c>
      <c r="D12" s="5" t="inlineStr">
        <is>
          <t>Equity-free venture program</t>
        </is>
      </c>
      <c r="E12" s="5" t="inlineStr">
        <is>
          <t>US / Global chapters</t>
        </is>
      </c>
      <c r="F12" s="6" t="n"/>
      <c r="G12" s="5" t="inlineStr">
        <is>
          <t>USD</t>
        </is>
      </c>
      <c r="H12" s="5" t="inlineStr">
        <is>
          <t>Built for pre-company academic founders (students/PhDs/postdocs/PIs) = DrPH founder fits directly. No incorporation required; equity-free. Bio/life-science-leaning — confirm a clinical-AI/software venture is in scope for the Boston chapter.</t>
        </is>
      </c>
      <c r="I12" s="6" t="n">
        <v>4</v>
      </c>
      <c r="J12" s="6" t="inlineStr">
        <is>
          <t>No open call (watch Boston 2026-27, ~Oct)</t>
        </is>
      </c>
      <c r="K12" s="6" t="inlineStr">
        <is>
          <t>5-12</t>
        </is>
      </c>
      <c r="L12" s="5" t="inlineStr">
        <is>
          <t>Researching</t>
        </is>
      </c>
      <c r="M12" s="6" t="inlineStr">
        <is>
          <t>Lara</t>
        </is>
      </c>
      <c r="N12" s="5" t="inlineStr">
        <is>
          <t>Confirm the Boston 2026-27 Activator application window and software-venture eligibility on the official page.</t>
        </is>
      </c>
      <c r="O12" s="5" t="inlineStr">
        <is>
          <t>https://nucleate.org/activator/</t>
        </is>
      </c>
    </row>
    <row r="13" ht="28" customHeight="1">
      <c r="A13" s="5" t="n">
        <v>1</v>
      </c>
      <c r="B13" s="5" t="inlineStr">
        <is>
          <t>Massachusetts SBDC SBIR Advising</t>
        </is>
      </c>
      <c r="C13" s="5" t="inlineStr">
        <is>
          <t>Massachusetts SBDC</t>
        </is>
      </c>
      <c r="D13" s="5" t="inlineStr">
        <is>
          <t>Free advising</t>
        </is>
      </c>
      <c r="E13" s="5" t="inlineStr">
        <is>
          <t>US - Massachusetts</t>
        </is>
      </c>
      <c r="F13" s="6" t="n"/>
      <c r="G13" s="5" t="inlineStr">
        <is>
          <t>USD</t>
        </is>
      </c>
      <c r="H13" s="5" t="inlineStr">
        <is>
          <t>Free, confidential advising for prospective + existing MA small businesses. NO incorporation required to request (serves 'prospective' businesses). F-1 not a bar (advising is not a federal award).</t>
        </is>
      </c>
      <c r="I13" s="6" t="n">
        <v>4</v>
      </c>
      <c r="J13" s="6" t="inlineStr">
        <is>
          <t>Rolling</t>
        </is>
      </c>
      <c r="K13" s="6" t="inlineStr">
        <is>
          <t>0.5-1</t>
        </is>
      </c>
      <c r="L13" s="5" t="inlineStr">
        <is>
          <t>Eligible</t>
        </is>
      </c>
      <c r="M13" s="6" t="inlineStr">
        <is>
          <t>Lara</t>
        </is>
      </c>
      <c r="N13" s="5" t="inlineStr">
        <is>
          <t>AWAITING LARA'S GO-AHEAD to submit the free Request for Advising at msbdc.org/sbir (do not submit without explicit approval).</t>
        </is>
      </c>
      <c r="O13" s="5" t="inlineStr">
        <is>
          <t>https://www.msbdc.org/sbir/</t>
        </is>
      </c>
    </row>
    <row r="14" ht="42" customHeight="1">
      <c r="A14" s="5" t="n">
        <v>1</v>
      </c>
      <c r="B14" s="5" t="inlineStr">
        <is>
          <t>NIH SBIR/STTR (flagged constraint)</t>
        </is>
      </c>
      <c r="C14" s="5" t="inlineStr">
        <is>
          <t>NIH</t>
        </is>
      </c>
      <c r="D14" s="5" t="inlineStr">
        <is>
          <t>Grant</t>
        </is>
      </c>
      <c r="E14" s="5" t="inlineStr">
        <is>
          <t>US</t>
        </is>
      </c>
      <c r="F14" s="6" t="n">
        <v>323090</v>
      </c>
      <c r="G14" s="5" t="inlineStr">
        <is>
          <t>USD</t>
        </is>
      </c>
      <c r="H14" s="5" t="inlineStr">
        <is>
          <t>Requires a US for-profit small business concern (incorporation needed) AND &gt;50% direct ownership/control by US citizens or permanent residents. Founder is on F-1 = NOT a citizen/PR. Nominee arrangement implicates this exact rule. NEEDS IMMIGRATION COUNSEL INPUT — do not self-assess. Registrations: SAM.gov/UEI, SBA Company Registry, eRA Commons, Grants.gov.</t>
        </is>
      </c>
      <c r="I14" s="6" t="n">
        <v>3</v>
      </c>
      <c r="J14" s="6" t="inlineStr">
        <is>
          <t>Standard NIH cycles: Jan 5 / Apr 5 / Sep 5</t>
        </is>
      </c>
      <c r="K14" s="6" t="inlineStr">
        <is>
          <t>80-160</t>
        </is>
      </c>
      <c r="L14" s="5" t="inlineStr">
        <is>
          <t>Researching</t>
        </is>
      </c>
      <c r="M14" s="6" t="inlineStr">
        <is>
          <t>Lara</t>
        </is>
      </c>
      <c r="N14" s="5" t="inlineStr">
        <is>
          <t>Flag the &gt;50% US-citizen/PR ownership rule for immigration counsel; do not self-assess. Blocked pending incorporation + counsel.</t>
        </is>
      </c>
      <c r="O14" s="5" t="inlineStr">
        <is>
          <t>https://seed.nih.gov/small-business-funding/small-business-program-basics/eligibility-criteria</t>
        </is>
      </c>
    </row>
    <row r="15">
      <c r="A15" s="5" t="n">
        <v>2</v>
      </c>
      <c r="B15" s="5" t="inlineStr">
        <is>
          <t>Pillar VC</t>
        </is>
      </c>
      <c r="C15" s="5" t="inlineStr">
        <is>
          <t>Pillar VC</t>
        </is>
      </c>
      <c r="D15" s="5" t="inlineStr">
        <is>
          <t>Investor</t>
        </is>
      </c>
      <c r="E15" s="5" t="inlineStr">
        <is>
          <t>US - Boston</t>
        </is>
      </c>
      <c r="F15" s="6" t="n"/>
      <c r="G15" s="5" t="inlineStr">
        <is>
          <t>USD</t>
        </is>
      </c>
      <c r="H15" s="5" t="inlineStr">
        <is>
          <t>Pre-seed/inception fund; invests pre-revenue at idea stage incl. academic spinouts. Healthcare + AI named sectors. Boston. Warm intro strongly preferred ('referrals are critical').</t>
        </is>
      </c>
      <c r="I15" s="6" t="n">
        <v>5</v>
      </c>
      <c r="J15" s="6" t="inlineStr">
        <is>
          <t>Rolling</t>
        </is>
      </c>
      <c r="K15" s="6" t="inlineStr">
        <is>
          <t>3-6</t>
        </is>
      </c>
      <c r="L15" s="5" t="inlineStr">
        <is>
          <t>Eligible</t>
        </is>
      </c>
      <c r="M15" s="6" t="inlineStr">
        <is>
          <t>Lara</t>
        </is>
      </c>
      <c r="N15" s="5" t="inlineStr">
        <is>
          <t>Secure a warm intro via Harvard i-Lab/HealthLab or CHAI, then pitch (pre-seed/inception; healthcare+AI thesis).</t>
        </is>
      </c>
      <c r="O15" s="5" t="inlineStr">
        <is>
          <t>https://www.pillar.vc/connect/</t>
        </is>
      </c>
    </row>
    <row r="16" ht="28" customHeight="1">
      <c r="A16" s="5" t="n">
        <v>2</v>
      </c>
      <c r="B16" s="5" t="inlineStr">
        <is>
          <t>Mass Medical Angels</t>
        </is>
      </c>
      <c r="C16" s="5" t="inlineStr">
        <is>
          <t>Mass Medical Angels</t>
        </is>
      </c>
      <c r="D16" s="5" t="inlineStr">
        <is>
          <t>Investor (angel group)</t>
        </is>
      </c>
      <c r="E16" s="5" t="inlineStr">
        <is>
          <t>US - Boston</t>
        </is>
      </c>
      <c r="F16" s="6" t="n"/>
      <c r="G16" s="5" t="inlineStr">
        <is>
          <t>USD</t>
        </is>
      </c>
      <c r="H16" s="5" t="inlineStr">
        <is>
          <t>Healthcare/life-science angel group; early-stage. Center of gravity is devices/therapeutics — confirm software/health-IT appetite. Cold application accepted; member warm intro helps.</t>
        </is>
      </c>
      <c r="I16" s="6" t="n">
        <v>4</v>
      </c>
      <c r="J16" s="6" t="inlineStr">
        <is>
          <t>Rolling</t>
        </is>
      </c>
      <c r="K16" s="6" t="inlineStr">
        <is>
          <t>2-4</t>
        </is>
      </c>
      <c r="L16" s="5" t="inlineStr">
        <is>
          <t>Researching</t>
        </is>
      </c>
      <c r="M16" s="6" t="inlineStr">
        <is>
          <t>Lara</t>
        </is>
      </c>
      <c r="N16" s="5" t="inlineStr">
        <is>
          <t>Confirm software/health-IT appetite, then submit the cold application at massmedangels.com (or via a member intro).</t>
        </is>
      </c>
      <c r="O16" s="5" t="inlineStr">
        <is>
          <t>https://www.massmedangels.com/</t>
        </is>
      </c>
    </row>
    <row r="17">
      <c r="A17" s="5" t="n">
        <v>2</v>
      </c>
      <c r="B17" s="5" t="inlineStr">
        <is>
          <t>Beacon Angels</t>
        </is>
      </c>
      <c r="C17" s="5" t="inlineStr">
        <is>
          <t>Beacon Angels</t>
        </is>
      </c>
      <c r="D17" s="5" t="inlineStr">
        <is>
          <t>Investor (angel group)</t>
        </is>
      </c>
      <c r="E17" s="5" t="inlineStr">
        <is>
          <t>US - Boston</t>
        </is>
      </c>
      <c r="F17" s="6" t="n">
        <v>400000</v>
      </c>
      <c r="G17" s="5" t="inlineStr">
        <is>
          <t>USD</t>
        </is>
      </c>
      <c r="H17" s="5" t="inlineStr">
        <is>
          <t>Early stage but requires a functional MVP or early customer validation (pure pre-product is out). New England companies only (Boston OK). Sector-generalist. Cold application via portal.</t>
        </is>
      </c>
      <c r="I17" s="6" t="n">
        <v>3</v>
      </c>
      <c r="J17" s="6" t="inlineStr">
        <is>
          <t>Rolling</t>
        </is>
      </c>
      <c r="K17" s="6" t="inlineStr">
        <is>
          <t>4-8</t>
        </is>
      </c>
      <c r="L17" s="5" t="inlineStr">
        <is>
          <t>Researching</t>
        </is>
      </c>
      <c r="M17" s="6" t="inlineStr">
        <is>
          <t>Lara</t>
        </is>
      </c>
      <c r="N17" s="5" t="inlineStr">
        <is>
          <t>Apply once a working MVP/pilot exists (Beacon requires a functional MVP or early validation).</t>
        </is>
      </c>
      <c r="O17" s="5" t="inlineStr">
        <is>
          <t>https://beaconangels.com/candidates/</t>
        </is>
      </c>
    </row>
    <row r="18" ht="28" customHeight="1">
      <c r="A18" s="5" t="n">
        <v>2</v>
      </c>
      <c r="B18" s="5" t="inlineStr">
        <is>
          <t>.406 Ventures</t>
        </is>
      </c>
      <c r="C18" s="5" t="inlineStr">
        <is>
          <t>406 Ventures</t>
        </is>
      </c>
      <c r="D18" s="5" t="inlineStr">
        <is>
          <t>Investor</t>
        </is>
      </c>
      <c r="E18" s="5" t="inlineStr">
        <is>
          <t>US - Boston</t>
        </is>
      </c>
      <c r="F18" s="6" t="n"/>
      <c r="G18" s="5" t="inlineStr">
        <is>
          <t>USD</t>
        </is>
      </c>
      <c r="H18" s="5" t="inlineStr">
        <is>
          <t>Earliest stage is a large first-institutional SEED round + Series A; no pre-seed evidence. Excellent thesis (healthcare + data/AI) — revisit at institutional seed. Disqualified per pre-seed rule for now.</t>
        </is>
      </c>
      <c r="I18" s="6" t="n">
        <v>2</v>
      </c>
      <c r="J18" s="6" t="inlineStr">
        <is>
          <t>Rolling</t>
        </is>
      </c>
      <c r="K18" s="6" t="n"/>
      <c r="L18" s="5" t="inlineStr">
        <is>
          <t>Dead</t>
        </is>
      </c>
      <c r="M18" s="6" t="inlineStr">
        <is>
          <t>Lara</t>
        </is>
      </c>
      <c r="N18" s="5" t="inlineStr">
        <is>
          <t>Revisit at institutional seed once there's a product + traction; build a partner relationship now.</t>
        </is>
      </c>
      <c r="O18" s="5" t="inlineStr">
        <is>
          <t>https://www.406ventures.com/our-focus/healthcare/</t>
        </is>
      </c>
    </row>
    <row r="19" ht="28" customHeight="1">
      <c r="A19" s="5" t="n">
        <v>2</v>
      </c>
      <c r="B19" s="5" t="inlineStr">
        <is>
          <t>Launchpad Venture Group</t>
        </is>
      </c>
      <c r="C19" s="5" t="inlineStr">
        <is>
          <t>Launchpad Venture Group</t>
        </is>
      </c>
      <c r="D19" s="5" t="inlineStr">
        <is>
          <t>Investor (angel group)</t>
        </is>
      </c>
      <c r="E19" s="5" t="inlineStr">
        <is>
          <t>US - Boston</t>
        </is>
      </c>
      <c r="F19" s="6" t="n">
        <v>1250000</v>
      </c>
      <c r="G19" s="5" t="inlineStr">
        <is>
          <t>USD</t>
        </is>
      </c>
      <c r="H19" s="5" t="inlineStr">
        <is>
          <t>Explicitly backs very-early pre-revenue founders ('even just a couple founders with a great idea'). New England HQ required (Boston OK). Tech-driven incl. life sciences. Cold application via members portal.</t>
        </is>
      </c>
      <c r="I19" s="6" t="n">
        <v>4</v>
      </c>
      <c r="J19" s="6" t="inlineStr">
        <is>
          <t>Rolling</t>
        </is>
      </c>
      <c r="K19" s="6" t="inlineStr">
        <is>
          <t>2-4</t>
        </is>
      </c>
      <c r="L19" s="5" t="inlineStr">
        <is>
          <t>Eligible</t>
        </is>
      </c>
      <c r="M19" s="6" t="inlineStr">
        <is>
          <t>Lara</t>
        </is>
      </c>
      <c r="N19" s="5" t="inlineStr">
        <is>
          <t>Register as an applicant at members.launchpadventuregroup.com and submit the deck.</t>
        </is>
      </c>
      <c r="O19" s="5" t="inlineStr">
        <is>
          <t>https://members.launchpadventuregroup.com/apply</t>
        </is>
      </c>
    </row>
    <row r="20">
      <c r="A20" s="5" t="n">
        <v>2</v>
      </c>
      <c r="B20" s="5" t="inlineStr">
        <is>
          <t>Golden Seeds</t>
        </is>
      </c>
      <c r="C20" s="5" t="inlineStr">
        <is>
          <t>Golden Seeds</t>
        </is>
      </c>
      <c r="D20" s="5" t="inlineStr">
        <is>
          <t>Investor (angel network)</t>
        </is>
      </c>
      <c r="E20" s="5" t="inlineStr">
        <is>
          <t>US - National</t>
        </is>
      </c>
      <c r="F20" s="6" t="n">
        <v>2000000</v>
      </c>
      <c r="G20" s="5" t="inlineStr">
        <is>
          <t>USD</t>
        </is>
      </c>
      <c r="H20" s="5" t="inlineStr">
        <is>
          <t>Women-led required (&gt;=1 woman in an operating C-suite role) — confirm SafeAI qualifies. Stage: late seed / early Series A; explicitly avoids friends-and-family stage and wants proof of concept = too late for pre-revenue now. $50 application fee.</t>
        </is>
      </c>
      <c r="I20" s="6" t="n">
        <v>2</v>
      </c>
      <c r="J20" s="6" t="inlineStr">
        <is>
          <t>Rolling</t>
        </is>
      </c>
      <c r="K20" s="6" t="inlineStr">
        <is>
          <t>3-6</t>
        </is>
      </c>
      <c r="L20" s="5" t="inlineStr">
        <is>
          <t>Not eligible</t>
        </is>
      </c>
      <c r="M20" s="6" t="inlineStr">
        <is>
          <t>Lara</t>
        </is>
      </c>
      <c r="N20" s="5" t="inlineStr">
        <is>
          <t>Revisit at POC/late-seed stage; confirm women-in-C-suite eligibility; attend a Boston info session to build the relationship.</t>
        </is>
      </c>
      <c r="O20" s="5" t="inlineStr">
        <is>
          <t>https://www.goldenseeds.com/how-to-apply</t>
        </is>
      </c>
    </row>
    <row r="21">
      <c r="A21" s="5" t="n">
        <v>2</v>
      </c>
      <c r="B21" s="5" t="inlineStr">
        <is>
          <t>Hub Angels</t>
        </is>
      </c>
      <c r="C21" s="5" t="inlineStr">
        <is>
          <t>Hub Angels</t>
        </is>
      </c>
      <c r="D21" s="5" t="inlineStr">
        <is>
          <t>Investor (angel group)</t>
        </is>
      </c>
      <c r="E21" s="5" t="inlineStr">
        <is>
          <t>US - Boston</t>
        </is>
      </c>
      <c r="F21" s="6" t="n"/>
      <c r="G21" s="5" t="inlineStr">
        <is>
          <t>USD</t>
        </is>
      </c>
      <c r="H21" s="5" t="inlineStr">
        <is>
          <t>Confirmed active (Fund VII, a 2026 deal). Early-stage, sector-generalist (life sciences + software history). No explicit pre-seed statement — confirm earliest-stage appetite. Intro/screen via info@hubangels.com.</t>
        </is>
      </c>
      <c r="I21" s="6" t="n">
        <v>3</v>
      </c>
      <c r="J21" s="6" t="inlineStr">
        <is>
          <t>Rolling</t>
        </is>
      </c>
      <c r="K21" s="6" t="inlineStr">
        <is>
          <t>2-4</t>
        </is>
      </c>
      <c r="L21" s="5" t="inlineStr">
        <is>
          <t>Researching</t>
        </is>
      </c>
      <c r="M21" s="6" t="inlineStr">
        <is>
          <t>Lara</t>
        </is>
      </c>
      <c r="N21" s="5" t="inlineStr">
        <is>
          <t>Email info@hubangels.com to confirm earliest-stage appetite before investing effort in a pitch.</t>
        </is>
      </c>
      <c r="O21" s="5" t="inlineStr">
        <is>
          <t>https://www.hubangels.com/faq.html</t>
        </is>
      </c>
    </row>
    <row r="22">
      <c r="A22" s="5" t="n">
        <v>2</v>
      </c>
      <c r="B22" s="5" t="inlineStr">
        <is>
          <t>TBD Angels</t>
        </is>
      </c>
      <c r="C22" s="5" t="inlineStr">
        <is>
          <t>TBD Angels</t>
        </is>
      </c>
      <c r="D22" s="5" t="inlineStr">
        <is>
          <t>Investor (angel group)</t>
        </is>
      </c>
      <c r="E22" s="5" t="inlineStr">
        <is>
          <t>US - Boston</t>
        </is>
      </c>
      <c r="F22" s="6" t="n">
        <v>250000</v>
      </c>
      <c r="G22" s="5" t="inlineStr">
        <is>
          <t>USD</t>
        </is>
      </c>
      <c r="H22" s="5" t="inlineStr">
        <is>
          <t>Boston operator-angel group writing earliest/angel-stage checks (pre-revenue not disqualifying). Sector-agnostic; no dedicated health-AI thesis. Cold deck submission accepted; member intro highest-yield.</t>
        </is>
      </c>
      <c r="I22" s="6" t="n">
        <v>3</v>
      </c>
      <c r="J22" s="6" t="inlineStr">
        <is>
          <t>Rolling</t>
        </is>
      </c>
      <c r="K22" s="6" t="inlineStr">
        <is>
          <t>2-4</t>
        </is>
      </c>
      <c r="L22" s="5" t="inlineStr">
        <is>
          <t>Researching</t>
        </is>
      </c>
      <c r="M22" s="6" t="inlineStr">
        <is>
          <t>Lara</t>
        </is>
      </c>
      <c r="N22" s="5" t="inlineStr">
        <is>
          <t>Confirm pre-revenue appetite; submit a deck via TBD Angels/OpenVC and seek a member warm intro.</t>
        </is>
      </c>
      <c r="O22" s="5" t="inlineStr">
        <is>
          <t>https://tbdangels.com/</t>
        </is>
      </c>
    </row>
    <row r="23" ht="28" customHeight="1">
      <c r="A23" s="5" t="n">
        <v>2</v>
      </c>
      <c r="B23" s="5" t="inlineStr">
        <is>
          <t>Precursor Ventures</t>
        </is>
      </c>
      <c r="C23" s="5" t="inlineStr">
        <is>
          <t>Precursor Ventures</t>
        </is>
      </c>
      <c r="D23" s="5" t="inlineStr">
        <is>
          <t>Investor</t>
        </is>
      </c>
      <c r="E23" s="5" t="inlineStr">
        <is>
          <t>US - SF (invests broadly)</t>
        </is>
      </c>
      <c r="F23" s="6" t="n">
        <v>500000</v>
      </c>
      <c r="G23" s="5" t="inlineStr">
        <is>
          <t>USD</t>
        </is>
      </c>
      <c r="H23" s="5" t="inlineStr">
        <is>
          <t>Explicit pre-seed specialist ('people over products'); funds pre-revenue on founder/market strength. Digital Health is a named category. Open cold-application form; fast decisions. National.</t>
        </is>
      </c>
      <c r="I23" s="6" t="n">
        <v>5</v>
      </c>
      <c r="J23" s="6" t="inlineStr">
        <is>
          <t>Rolling</t>
        </is>
      </c>
      <c r="K23" s="6" t="inlineStr">
        <is>
          <t>3-6</t>
        </is>
      </c>
      <c r="L23" s="5" t="inlineStr">
        <is>
          <t>Eligible</t>
        </is>
      </c>
      <c r="M23" s="6" t="inlineStr">
        <is>
          <t>Lara</t>
        </is>
      </c>
      <c r="N23" s="5" t="inlineStr">
        <is>
          <t>Submit the cold application at precursorvc.com/startup (lead with Harvard DrPH founder-market fit).</t>
        </is>
      </c>
      <c r="O23" s="5" t="inlineStr">
        <is>
          <t>https://precursorvc.com/startup/</t>
        </is>
      </c>
    </row>
    <row r="24" ht="28" customHeight="1">
      <c r="A24" s="5" t="n">
        <v>2</v>
      </c>
      <c r="B24" s="5" t="inlineStr">
        <is>
          <t>Hustle Fund</t>
        </is>
      </c>
      <c r="C24" s="5" t="inlineStr">
        <is>
          <t>Hustle Fund</t>
        </is>
      </c>
      <c r="D24" s="5" t="inlineStr">
        <is>
          <t>Investor</t>
        </is>
      </c>
      <c r="E24" s="5" t="inlineStr">
        <is>
          <t>US (invests broadly)</t>
        </is>
      </c>
      <c r="F24" s="6" t="n">
        <v>500000</v>
      </c>
      <c r="G24" s="5" t="inlineStr">
        <is>
          <t>USD</t>
        </is>
      </c>
      <c r="H24" s="5" t="inlineStr">
        <is>
          <t>Explicit pre-seed fund; backs very early / pre-revenue on speed &amp; execution. Digital health among named sectors. Cold 'Pitch us' form; warm intro helpful not required; welcomes founders outside hubs.</t>
        </is>
      </c>
      <c r="I24" s="6" t="n">
        <v>4</v>
      </c>
      <c r="J24" s="6" t="inlineStr">
        <is>
          <t>Rolling</t>
        </is>
      </c>
      <c r="K24" s="6" t="inlineStr">
        <is>
          <t>2-4</t>
        </is>
      </c>
      <c r="L24" s="5" t="inlineStr">
        <is>
          <t>Eligible</t>
        </is>
      </c>
      <c r="M24" s="6" t="inlineStr">
        <is>
          <t>Lara</t>
        </is>
      </c>
      <c r="N24" s="5" t="inlineStr">
        <is>
          <t>Submit the 'Pitch us' cold form at hustlefund.vc (lead with team velocity + a crisp wedge).</t>
        </is>
      </c>
      <c r="O24" s="5" t="inlineStr">
        <is>
          <t>https://www.hustlefund.vc/</t>
        </is>
      </c>
    </row>
    <row r="25" ht="28" customHeight="1">
      <c r="A25" s="5" t="n">
        <v>2</v>
      </c>
      <c r="B25" s="5" t="inlineStr">
        <is>
          <t>AlleyCorp</t>
        </is>
      </c>
      <c r="C25" s="5" t="inlineStr">
        <is>
          <t>AlleyCorp</t>
        </is>
      </c>
      <c r="D25" s="5" t="inlineStr">
        <is>
          <t>Investor</t>
        </is>
      </c>
      <c r="E25" s="5" t="inlineStr">
        <is>
          <t>US - NYC</t>
        </is>
      </c>
      <c r="F25" s="6" t="n"/>
      <c r="G25" s="5" t="inlineStr">
        <is>
          <t>USD</t>
        </is>
      </c>
      <c r="H25" s="5" t="inlineStr">
        <is>
          <t>Genuine pre-seed + a physician-led Healthcare vertical (well-equipped to assess clinical AI governance). NYC, invests nationally. No public cold form — warm intro to a healthcare partner effectively required.</t>
        </is>
      </c>
      <c r="I25" s="6" t="n">
        <v>4</v>
      </c>
      <c r="J25" s="6" t="inlineStr">
        <is>
          <t>Rolling</t>
        </is>
      </c>
      <c r="K25" s="6" t="inlineStr">
        <is>
          <t>4-8</t>
        </is>
      </c>
      <c r="L25" s="5" t="inlineStr">
        <is>
          <t>Researching</t>
        </is>
      </c>
      <c r="M25" s="6" t="inlineStr">
        <is>
          <t>Lara</t>
        </is>
      </c>
      <c r="N25" s="5" t="inlineStr">
        <is>
          <t>Secure a warm intro to an AlleyCorp healthcare partner via CHAI / Mayo Clinic / Harvard network.</t>
        </is>
      </c>
      <c r="O25" s="5" t="inlineStr">
        <is>
          <t>https://alleycorp.com/</t>
        </is>
      </c>
    </row>
    <row r="26" ht="28" customHeight="1">
      <c r="A26" s="5" t="n">
        <v>2</v>
      </c>
      <c r="B26" s="5" t="inlineStr">
        <is>
          <t>E14 Fund</t>
        </is>
      </c>
      <c r="C26" s="5" t="inlineStr">
        <is>
          <t>E14 Fund</t>
        </is>
      </c>
      <c r="D26" s="5" t="inlineStr">
        <is>
          <t>Investor</t>
        </is>
      </c>
      <c r="E26" s="5" t="inlineStr">
        <is>
          <t>US - Cambridge</t>
        </is>
      </c>
      <c r="F26" s="6" t="n"/>
      <c r="G26" s="5" t="inlineStr">
        <is>
          <t>USD</t>
        </is>
      </c>
      <c r="H26" s="5" t="inlineStr">
        <is>
          <t>Invests ONLY in startups with an MIT-affiliated key founder/contributor. A Harvard DrPH founder without an MIT co-founder does not meet the mandate = disqualified.</t>
        </is>
      </c>
      <c r="I26" s="6" t="n">
        <v>1</v>
      </c>
      <c r="J26" s="6" t="inlineStr">
        <is>
          <t>Rolling</t>
        </is>
      </c>
      <c r="K26" s="6" t="n"/>
      <c r="L26" s="5" t="inlineStr">
        <is>
          <t>Dead</t>
        </is>
      </c>
      <c r="M26" s="6" t="inlineStr">
        <is>
          <t>Lara</t>
        </is>
      </c>
      <c r="N26" s="5" t="inlineStr">
        <is>
          <t>Not eligible without an MIT-affiliated co-founder; no action (revisit only if an MIT co-founder joins).</t>
        </is>
      </c>
      <c r="O26" s="5" t="inlineStr">
        <is>
          <t>https://www.e14.vc/apply</t>
        </is>
      </c>
    </row>
    <row r="27">
      <c r="A27" s="5" t="n">
        <v>2</v>
      </c>
      <c r="B27" s="5" t="inlineStr">
        <is>
          <t>Underscore VC</t>
        </is>
      </c>
      <c r="C27" s="5" t="inlineStr">
        <is>
          <t>Underscore VC</t>
        </is>
      </c>
      <c r="D27" s="5" t="inlineStr">
        <is>
          <t>Investor</t>
        </is>
      </c>
      <c r="E27" s="5" t="inlineStr">
        <is>
          <t>US - Boston</t>
        </is>
      </c>
      <c r="F27" s="6" t="n">
        <v>1000000</v>
      </c>
      <c r="G27" s="5" t="inlineStr">
        <is>
          <t>USD</t>
        </is>
      </c>
      <c r="H27" s="5" t="inlineStr">
        <is>
          <t>Pre-seed/seed Boston fund for B2B/vertical SaaS + AI/ML; AVOIDS biotech and anything requiring FDA drug/device approval. SafeAI's software governance layer likely clears this — confirm it is not framed as an FDA-regulated device. Thesis-selective, warm-intro-led.</t>
        </is>
      </c>
      <c r="I27" s="6" t="n">
        <v>4</v>
      </c>
      <c r="J27" s="6" t="inlineStr">
        <is>
          <t>Rolling</t>
        </is>
      </c>
      <c r="K27" s="6" t="inlineStr">
        <is>
          <t>4-8</t>
        </is>
      </c>
      <c r="L27" s="5" t="inlineStr">
        <is>
          <t>Researching</t>
        </is>
      </c>
      <c r="M27" s="6" t="inlineStr">
        <is>
          <t>Lara</t>
        </is>
      </c>
      <c r="N27" s="5" t="inlineStr">
        <is>
          <t>Confirm the product reads as software governance (not an FDA device); seek a Core Partner warm intro.</t>
        </is>
      </c>
      <c r="O27" s="5" t="inlineStr">
        <is>
          <t>https://underscore.vc/</t>
        </is>
      </c>
    </row>
    <row r="28" ht="28" customHeight="1">
      <c r="A28" s="5" t="n">
        <v>2</v>
      </c>
      <c r="B28" s="5" t="inlineStr">
        <is>
          <t>Jumpstart Foundry</t>
        </is>
      </c>
      <c r="C28" s="5" t="inlineStr">
        <is>
          <t>Jumpstart Foundry</t>
        </is>
      </c>
      <c r="D28" s="5" t="inlineStr">
        <is>
          <t>Investor</t>
        </is>
      </c>
      <c r="E28" s="5" t="inlineStr">
        <is>
          <t>US - Nashville</t>
        </is>
      </c>
      <c r="F28" s="6" t="n">
        <v>150000</v>
      </c>
      <c r="G28" s="5" t="inlineStr">
        <is>
          <t>USD</t>
        </is>
      </c>
      <c r="H28" s="5" t="inlineStr">
        <is>
          <t>Healthcare-only pre-seed fund; purpose-built for pre-revenue health founders. National (Nashville). Cold application; quarterly decisions. Standard $150k term = weigh dilution vs. large payer/provider network value.</t>
        </is>
      </c>
      <c r="I28" s="6" t="n">
        <v>4</v>
      </c>
      <c r="J28" s="6" t="inlineStr">
        <is>
          <t>Rolling (quarterly decisions)</t>
        </is>
      </c>
      <c r="K28" s="6" t="inlineStr">
        <is>
          <t>3-6</t>
        </is>
      </c>
      <c r="L28" s="5" t="inlineStr">
        <is>
          <t>Eligible</t>
        </is>
      </c>
      <c r="M28" s="6" t="inlineStr">
        <is>
          <t>Lara</t>
        </is>
      </c>
      <c r="N28" s="5" t="inlineStr">
        <is>
          <t>Submit the cold application at jsf.co/apply (healthcare pre-seed; note the standard $150k term).</t>
        </is>
      </c>
      <c r="O28" s="5" t="inlineStr">
        <is>
          <t>https://jsf.co/apply</t>
        </is>
      </c>
    </row>
    <row r="29" ht="28" customHeight="1">
      <c r="A29" s="5" t="n">
        <v>3</v>
      </c>
      <c r="B29" s="5" t="inlineStr">
        <is>
          <t>Gates Grand Challenges (current open calls)</t>
        </is>
      </c>
      <c r="C29" s="5" t="inlineStr">
        <is>
          <t>Gates Foundation</t>
        </is>
      </c>
      <c r="D29" s="5" t="inlineStr">
        <is>
          <t>Philanthropic grant</t>
        </is>
      </c>
      <c r="E29" s="5" t="inlineStr">
        <is>
          <t>Global</t>
        </is>
      </c>
      <c r="F29" s="6" t="n">
        <v>500000</v>
      </c>
      <c r="G29" s="5" t="inlineStr">
        <is>
          <t>USD</t>
        </is>
      </c>
      <c r="H29" s="5" t="inlineStr">
        <is>
          <t>For-profits: yes. Nonprofits: yes. Individuals: no. Academic: yes. Fiscal sponsorship: unclear. US entity: not required. NOTE: the one open call (AI-enabled family planning, sub-Saharan Africa, needs in-country user base) does not fit and SafeAI cannot meet it.</t>
        </is>
      </c>
      <c r="I29" s="6" t="n">
        <v>4</v>
      </c>
      <c r="J29" s="6" t="inlineStr">
        <is>
          <t>Family-planning call 25 Aug 2026 (not eligible); EVAH round closed Apr 2026</t>
        </is>
      </c>
      <c r="K29" s="6" t="inlineStr">
        <is>
          <t>25-50</t>
        </is>
      </c>
      <c r="L29" s="5" t="inlineStr">
        <is>
          <t>Researching</t>
        </is>
      </c>
      <c r="M29" s="6" t="inlineStr">
        <is>
          <t>Lara</t>
        </is>
      </c>
      <c r="N29" s="5" t="inlineStr">
        <is>
          <t>Watch for the next EVAH round (the on-point vehicle via J-PAL/APHRC); the current family-planning call is not a fit.</t>
        </is>
      </c>
      <c r="O29" s="5" t="inlineStr">
        <is>
          <t>https://gcgh.grandchallenges.org/</t>
        </is>
      </c>
    </row>
    <row r="30" ht="28" customHeight="1">
      <c r="A30" s="5" t="n">
        <v>3</v>
      </c>
      <c r="B30" s="5" t="inlineStr">
        <is>
          <t>Wellcome Trust (current open calls)</t>
        </is>
      </c>
      <c r="C30" s="5" t="inlineStr">
        <is>
          <t>Wellcome</t>
        </is>
      </c>
      <c r="D30" s="5" t="inlineStr">
        <is>
          <t>Philanthropic grant</t>
        </is>
      </c>
      <c r="E30" s="5" t="inlineStr">
        <is>
          <t>Global</t>
        </is>
      </c>
      <c r="F30" s="6" t="n">
        <v>3500000</v>
      </c>
      <c r="G30" s="5" t="inlineStr">
        <is>
          <t>GBP</t>
        </is>
      </c>
      <c r="H30" s="5" t="inlineStr">
        <is>
          <t>For-profits: no (administering org must be not-for-profit). Nonprofits: yes. Individuals: no (needs an eligible administering organisation). Academic: yes. Fiscal sponsorship: n/a. US entity: not required; from 29 Oct 2026 leads must be UK or Africa/South/SE-Asia LMICs. Route = Penda-Kenya or academic lead, SafeAI as collaborator.</t>
        </is>
      </c>
      <c r="I30" s="6" t="n">
        <v>3</v>
      </c>
      <c r="J30" s="6" t="inlineStr">
        <is>
          <t>No open call (Discovery Awards reopen 23 Sep 2026)</t>
        </is>
      </c>
      <c r="K30" s="6" t="inlineStr">
        <is>
          <t>40-80</t>
        </is>
      </c>
      <c r="L30" s="5" t="inlineStr">
        <is>
          <t>Researching</t>
        </is>
      </c>
      <c r="M30" s="6" t="inlineStr">
        <is>
          <t>Lara</t>
        </is>
      </c>
      <c r="N30" s="5" t="inlineStr">
        <is>
          <t>Pursue via a Kenyan/academic not-for-profit lead (SafeAI as collaborator); the post-Oct-2026 Africa/Asia lead rule favors a Penda-led application.</t>
        </is>
      </c>
      <c r="O30" s="5" t="inlineStr">
        <is>
          <t>https://wellcome.org/research-funding/schemes/wellcome-discovery-awards</t>
        </is>
      </c>
    </row>
    <row r="31" ht="28" customHeight="1">
      <c r="A31" s="5" t="n">
        <v>3</v>
      </c>
      <c r="B31" s="5" t="inlineStr">
        <is>
          <t>Patrick J. McGovern Foundation</t>
        </is>
      </c>
      <c r="C31" s="5" t="inlineStr">
        <is>
          <t>Patrick J. McGovern Foundation</t>
        </is>
      </c>
      <c r="D31" s="5" t="inlineStr">
        <is>
          <t>Philanthropic grant</t>
        </is>
      </c>
      <c r="E31" s="5" t="inlineStr">
        <is>
          <t>US / Global</t>
        </is>
      </c>
      <c r="F31" s="6" t="n">
        <v>125000</v>
      </c>
      <c r="G31" s="5" t="inlineStr">
        <is>
          <t>USD</t>
        </is>
      </c>
      <c r="H31" s="5" t="inlineStr">
        <is>
          <t>For-profits: no (focus is nonprofits/NGOs; some social enterprises via accelerators). Nonprofits: yes. Individuals: no. Academic: yes. Fiscal sponsorship: unclear. US entity: not explicitly required but US-centric. No unsolicited route; accelerator (nonprofit-focused) closed 1 Jul 2026.</t>
        </is>
      </c>
      <c r="I31" s="6" t="n">
        <v>3</v>
      </c>
      <c r="J31" s="6" t="inlineStr">
        <is>
          <t>No open call (accelerator closed 1 Jul 2026)</t>
        </is>
      </c>
      <c r="K31" s="6" t="inlineStr">
        <is>
          <t>8-15</t>
        </is>
      </c>
      <c r="L31" s="5" t="inlineStr">
        <is>
          <t>Researching</t>
        </is>
      </c>
      <c r="M31" s="6" t="inlineStr">
        <is>
          <t>Lara</t>
        </is>
      </c>
      <c r="N31" s="5" t="inlineStr">
        <is>
          <t>No unsolicited route; build visibility and watch for the next accelerator cohort (would need nonprofit/fiscal-sponsor framing).</t>
        </is>
      </c>
      <c r="O31" s="5" t="inlineStr">
        <is>
          <t>https://www.mcgovern.org/grants/</t>
        </is>
      </c>
    </row>
    <row r="32" ht="28" customHeight="1">
      <c r="A32" s="5" t="n">
        <v>3</v>
      </c>
      <c r="B32" s="5" t="inlineStr">
        <is>
          <t>Draper Richards Kaplan Foundation</t>
        </is>
      </c>
      <c r="C32" s="5" t="inlineStr">
        <is>
          <t>DRK Foundation</t>
        </is>
      </c>
      <c r="D32" s="5" t="inlineStr">
        <is>
          <t>Philanthropic venture funding</t>
        </is>
      </c>
      <c r="E32" s="5" t="inlineStr">
        <is>
          <t>Global</t>
        </is>
      </c>
      <c r="F32" s="6" t="n">
        <v>300000</v>
      </c>
      <c r="G32" s="5" t="inlineStr">
        <is>
          <t>USD</t>
        </is>
      </c>
      <c r="H32" s="5" t="inlineStr">
        <is>
          <t>For-profits: yes (mission-driven C/B-corp). Nonprofits: yes. Individuals: no. Academic: no. Fiscal sponsorship: ACCEPTED (fiscally sponsored projects explicitly eligible). US entity: not required. Best structural fit for an unincorporated social enterprise — line up a fiscal sponsor to strengthen it. Candidate sponsors: Multiplier / TSNE (Boston) — verify.</t>
        </is>
      </c>
      <c r="I32" s="6" t="n">
        <v>5</v>
      </c>
      <c r="J32" s="6" t="inlineStr">
        <is>
          <t>Rolling</t>
        </is>
      </c>
      <c r="K32" s="6" t="inlineStr">
        <is>
          <t>1-3</t>
        </is>
      </c>
      <c r="L32" s="5" t="inlineStr">
        <is>
          <t>Eligible</t>
        </is>
      </c>
      <c r="M32" s="6" t="inlineStr">
        <is>
          <t>Lara</t>
        </is>
      </c>
      <c r="N32" s="5" t="inlineStr">
        <is>
          <t>Submit the rolling online application at drkfoundation.org/apply; line up a fiscal sponsor (e.g. Multiplier / TSNE) to strengthen it.</t>
        </is>
      </c>
      <c r="O32" s="5" t="inlineStr">
        <is>
          <t>https://www.drkfoundation.org/apply/</t>
        </is>
      </c>
    </row>
    <row r="33" ht="28" customHeight="1">
      <c r="A33" s="5" t="n">
        <v>3</v>
      </c>
      <c r="B33" s="5" t="inlineStr">
        <is>
          <t>Fondation Botnar</t>
        </is>
      </c>
      <c r="C33" s="5" t="inlineStr">
        <is>
          <t>Fondation Botnar</t>
        </is>
      </c>
      <c r="D33" s="5" t="inlineStr">
        <is>
          <t>Philanthropic grant</t>
        </is>
      </c>
      <c r="E33" s="5" t="inlineStr">
        <is>
          <t>Global (LMIC focus)</t>
        </is>
      </c>
      <c r="F33" s="6" t="n"/>
      <c r="G33" s="5" t="inlineStr">
        <is>
          <t>CHF</t>
        </is>
      </c>
      <c r="H33" s="5" t="inlineStr">
        <is>
          <t>For-profits: unclear (varies by call). Nonprofits: yes. Individuals: no. Academic: yes. Fiscal sponsorship: unclear. US entity: not required (LMIC-based initiatives). Core lens is youth/adolescent wellbeing + digital health in specific LMIC cities; Kenya not a recent target — partial fit only.</t>
        </is>
      </c>
      <c r="I33" s="6" t="n">
        <v>2</v>
      </c>
      <c r="J33" s="6" t="inlineStr">
        <is>
          <t>No open call (watch newsletter)</t>
        </is>
      </c>
      <c r="K33" s="6" t="inlineStr">
        <is>
          <t>20-40</t>
        </is>
      </c>
      <c r="L33" s="5" t="inlineStr">
        <is>
          <t>Researching</t>
        </is>
      </c>
      <c r="M33" s="6" t="inlineStr">
        <is>
          <t>Lara</t>
        </is>
      </c>
      <c r="N33" s="5" t="inlineStr">
        <is>
          <t>Subscribe to the newsletter and watch for the next digital-health LMIC call (none open now).</t>
        </is>
      </c>
      <c r="O33" s="5" t="inlineStr">
        <is>
          <t>https://www.fondationbotnar.org/funding-opportunities/</t>
        </is>
      </c>
    </row>
    <row r="34" ht="28" customHeight="1">
      <c r="A34" s="5" t="n">
        <v>3</v>
      </c>
      <c r="B34" s="5" t="inlineStr">
        <is>
          <t>Grand Challenges Canada</t>
        </is>
      </c>
      <c r="C34" s="5" t="inlineStr">
        <is>
          <t>Grand Challenges Canada</t>
        </is>
      </c>
      <c r="D34" s="5" t="inlineStr">
        <is>
          <t>Philanthropic grant</t>
        </is>
      </c>
      <c r="E34" s="5" t="inlineStr">
        <is>
          <t>Global (LMIC focus)</t>
        </is>
      </c>
      <c r="F34" s="6" t="n">
        <v>200000</v>
      </c>
      <c r="G34" s="5" t="inlineStr">
        <is>
          <t>CAD</t>
        </is>
      </c>
      <c r="H34" s="5" t="inlineStr">
        <is>
          <t>For-profits: yes. Nonprofits: yes. Individuals: no. Academic: yes. Fiscal sponsorship: unclear/likely not — applicant must be legally incorporated and able to administer funds. US entity: not required but project must run in an eligible LMIC on the call's country list (confirm Kenya). Two blockers now: no open call + incorporation required.</t>
        </is>
      </c>
      <c r="I34" s="6" t="n">
        <v>3</v>
      </c>
      <c r="J34" s="6" t="inlineStr">
        <is>
          <t>No open call (watch next global-health call)</t>
        </is>
      </c>
      <c r="K34" s="6" t="inlineStr">
        <is>
          <t>20-40</t>
        </is>
      </c>
      <c r="L34" s="5" t="inlineStr">
        <is>
          <t>Researching</t>
        </is>
      </c>
      <c r="M34" s="6" t="inlineStr">
        <is>
          <t>Lara</t>
        </is>
      </c>
      <c r="N34" s="5" t="inlineStr">
        <is>
          <t>Watch for the next global-health innovation call; plan to apply via an incorporated Penda/Kenya partner and confirm Kenya is on the country list.</t>
        </is>
      </c>
      <c r="O34" s="5" t="inlineStr">
        <is>
          <t>https://www.grandchallenges.ca/apply-for-funding/</t>
        </is>
      </c>
    </row>
    <row r="35" ht="28" customHeight="1">
      <c r="A35" s="5" t="n">
        <v>3</v>
      </c>
      <c r="B35" s="5" t="inlineStr">
        <is>
          <t>The Rockefeller Foundation</t>
        </is>
      </c>
      <c r="C35" s="5" t="inlineStr">
        <is>
          <t>Rockefeller Foundation</t>
        </is>
      </c>
      <c r="D35" s="5" t="inlineStr">
        <is>
          <t>Philanthropic grant</t>
        </is>
      </c>
      <c r="E35" s="5" t="inlineStr">
        <is>
          <t>Global</t>
        </is>
      </c>
      <c r="F35" s="6" t="n"/>
      <c r="G35" s="5" t="inlineStr">
        <is>
          <t>USD</t>
        </is>
      </c>
      <c r="H35" s="5" t="inlineStr">
        <is>
          <t>For-profits: unclear (invitation-only). Nonprofits: yes (by invitation). Individuals: no. Academic: yes (by invitation). Fiscal sponsorship: unclear. US entity: not required. No cold application mechanism — funding via Program Officer invitation only.</t>
        </is>
      </c>
      <c r="I35" s="6" t="n">
        <v>3</v>
      </c>
      <c r="J35" s="6" t="inlineStr">
        <is>
          <t>No open call (invitation-only)</t>
        </is>
      </c>
      <c r="K35" s="6" t="n"/>
      <c r="L35" s="5" t="inlineStr">
        <is>
          <t>Researching</t>
        </is>
      </c>
      <c r="M35" s="6" t="inlineStr">
        <is>
          <t>Lara</t>
        </is>
      </c>
      <c r="N35" s="5" t="inlineStr">
        <is>
          <t>Watch-only; build Program Officer relationships via the global-health/health-AI network (no application route).</t>
        </is>
      </c>
      <c r="O35" s="5" t="inlineStr">
        <is>
          <t>https://www.rockefellerfoundation.org/grants/</t>
        </is>
      </c>
    </row>
    <row r="36" ht="28" customHeight="1">
      <c r="A36" s="5" t="n">
        <v>3</v>
      </c>
      <c r="B36" s="5" t="inlineStr">
        <is>
          <t>Wellcome Leap</t>
        </is>
      </c>
      <c r="C36" s="5" t="inlineStr">
        <is>
          <t>Wellcome Leap</t>
        </is>
      </c>
      <c r="D36" s="5" t="inlineStr">
        <is>
          <t>Program funding</t>
        </is>
      </c>
      <c r="E36" s="5" t="inlineStr">
        <is>
          <t>Global</t>
        </is>
      </c>
      <c r="F36" s="6" t="n"/>
      <c r="G36" s="5" t="inlineStr">
        <is>
          <t>USD</t>
        </is>
      </c>
      <c r="H36" s="5" t="inlineStr">
        <is>
          <t>For-profits: yes. Nonprofits: yes. Individuals: no (contract as an organisation). Academic: yes. Fiscal sponsorship: unclear/likely not — milestone contracts require a contracting legal entity. US entity: not required. Needs an incorporated entity able to sign milestone contracts.</t>
        </is>
      </c>
      <c r="I36" s="6" t="n">
        <v>3</v>
      </c>
      <c r="J36" s="6" t="inlineStr">
        <is>
          <t>No open call (watch program RFPs)</t>
        </is>
      </c>
      <c r="K36" s="6" t="inlineStr">
        <is>
          <t>20-40</t>
        </is>
      </c>
      <c r="L36" s="5" t="inlineStr">
        <is>
          <t>Researching</t>
        </is>
      </c>
      <c r="M36" s="6" t="inlineStr">
        <is>
          <t>Lara</t>
        </is>
      </c>
      <c r="N36" s="5" t="inlineStr">
        <is>
          <t>Watch for a clinical-AI / health-delivery program RFP; participation needs an incorporated contracting entity.</t>
        </is>
      </c>
      <c r="O36" s="5" t="inlineStr">
        <is>
          <t>https://wellcomeleap.org/programs/</t>
        </is>
      </c>
    </row>
    <row r="37" ht="28" customHeight="1">
      <c r="A37" s="5" t="n">
        <v>3</v>
      </c>
      <c r="B37" s="5" t="inlineStr">
        <is>
          <t>Skoll Foundation</t>
        </is>
      </c>
      <c r="C37" s="5" t="inlineStr">
        <is>
          <t>Skoll Foundation</t>
        </is>
      </c>
      <c r="D37" s="5" t="inlineStr">
        <is>
          <t>Philanthropic award</t>
        </is>
      </c>
      <c r="E37" s="5" t="inlineStr">
        <is>
          <t>Global</t>
        </is>
      </c>
      <c r="F37" s="6" t="n">
        <v>2000000</v>
      </c>
      <c r="G37" s="5" t="inlineStr">
        <is>
          <t>USD</t>
        </is>
      </c>
      <c r="H37" s="5" t="inlineStr">
        <is>
          <t>For-profits: yes. Nonprofits: yes. Individuals: no. Academic: no. Fiscal sponsorship: NOT accepted (requires a legally incorporated entity). US entity: not required. Nomination/invitation-only; targets proven, later-stage orgs with demonstrated scale = opposite of a pre-incorporation startup.</t>
        </is>
      </c>
      <c r="I37" s="6" t="n">
        <v>2</v>
      </c>
      <c r="J37" s="6" t="inlineStr">
        <is>
          <t>No open call (nomination-only)</t>
        </is>
      </c>
      <c r="K37" s="6" t="n"/>
      <c r="L37" s="5" t="inlineStr">
        <is>
          <t>Not eligible</t>
        </is>
      </c>
      <c r="M37" s="6" t="inlineStr">
        <is>
          <t>Lara</t>
        </is>
      </c>
      <c r="N37" s="5" t="inlineStr">
        <is>
          <t>Revisit post-incorporation with proven scale (nomination-only); no current action.</t>
        </is>
      </c>
      <c r="O37" s="5" t="inlineStr">
        <is>
          <t>https://skoll.org/about/skoll-awards/</t>
        </is>
      </c>
    </row>
    <row r="38" ht="28" customHeight="1">
      <c r="A38" s="5" t="n">
        <v>3</v>
      </c>
      <c r="B38" s="5" t="inlineStr">
        <is>
          <t>Mulago Foundation</t>
        </is>
      </c>
      <c r="C38" s="5" t="inlineStr">
        <is>
          <t>Mulago Foundation</t>
        </is>
      </c>
      <c r="D38" s="5" t="inlineStr">
        <is>
          <t>Philanthropic fellowship/grant</t>
        </is>
      </c>
      <c r="E38" s="5" t="inlineStr">
        <is>
          <t>Global (LMIC focus)</t>
        </is>
      </c>
      <c r="F38" s="6" t="n">
        <v>100000</v>
      </c>
      <c r="G38" s="5" t="inlineStr">
        <is>
          <t>USD</t>
        </is>
      </c>
      <c r="H38" s="5" t="inlineStr">
        <is>
          <t>For-profits: yes (mission-driven). Nonprofits: yes. Individuals: no (must lead an entity). Academic: no. Fiscal sponsorship: ACCEPTED (fiscally sponsored / in-registration entities explicitly eligible). US entity: not required (worldwide). Strong LMIC/Penda-Kenya fit; the fellowship is the open door (core grantmaking is invitation-only).</t>
        </is>
      </c>
      <c r="I38" s="6" t="n">
        <v>5</v>
      </c>
      <c r="J38" s="6" t="inlineStr">
        <is>
          <t>31 Oct 2026 (Rainer Arnhold Fellowship) - confirm</t>
        </is>
      </c>
      <c r="K38" s="6" t="inlineStr">
        <is>
          <t>8-15</t>
        </is>
      </c>
      <c r="L38" s="5" t="inlineStr">
        <is>
          <t>Eligible</t>
        </is>
      </c>
      <c r="M38" s="6" t="inlineStr">
        <is>
          <t>Lara</t>
        </is>
      </c>
      <c r="N38" s="5" t="inlineStr">
        <is>
          <t>Confirm the Rainer Arnhold Fellowship deadline (reported 31 Oct 2026) and current-cycle status on the official portal, then prep the application (fiscal sponsorship accepted).</t>
        </is>
      </c>
      <c r="O38" s="5" t="inlineStr">
        <is>
          <t>https://www.mulagofoundation.org/</t>
        </is>
      </c>
    </row>
    <row r="39" ht="28" customHeight="1">
      <c r="A39" s="5" t="n">
        <v>3</v>
      </c>
      <c r="B39" s="5" t="inlineStr">
        <is>
          <t>Open Philanthropy (Global Health R&amp;D)</t>
        </is>
      </c>
      <c r="C39" s="5" t="inlineStr">
        <is>
          <t>Open Philanthropy (now Coefficient Giving)</t>
        </is>
      </c>
      <c r="D39" s="5" t="inlineStr">
        <is>
          <t>Philanthropic grant</t>
        </is>
      </c>
      <c r="E39" s="5" t="inlineStr">
        <is>
          <t>Global</t>
        </is>
      </c>
      <c r="F39" s="6" t="n">
        <v>10000000</v>
      </c>
      <c r="G39" s="5" t="inlineStr">
        <is>
          <t>USD</t>
        </is>
      </c>
      <c r="H39" s="5" t="inlineStr">
        <is>
          <t>For-profits: yes. Nonprofits: yes. Individuals: yes. Academic: yes. Fiscal sponsorship: unclear (confirm). US entity: not required (worldwide; LMIC-engaged proposals encouraged). Strongest fit: RFP explicitly covers how global health should respond to transformative AI. Funder renamed Open Philanthropy -&gt; Coefficient Giving.</t>
        </is>
      </c>
      <c r="I39" s="6" t="n">
        <v>5</v>
      </c>
      <c r="J39" s="6" t="inlineStr">
        <is>
          <t>21 Aug 2026 (RFP) - confirm URGENTLY</t>
        </is>
      </c>
      <c r="K39" s="6" t="inlineStr">
        <is>
          <t>15-30</t>
        </is>
      </c>
      <c r="L39" s="5" t="inlineStr">
        <is>
          <t>Eligible</t>
        </is>
      </c>
      <c r="M39" s="6" t="inlineStr">
        <is>
          <t>Lara</t>
        </is>
      </c>
      <c r="N39" s="5" t="inlineStr">
        <is>
          <t>URGENT: confirm the 21 Aug 2026 RFP deadline on the official page and decide go/no-go with Lara (10 days out).</t>
        </is>
      </c>
      <c r="O39" s="5" t="inlineStr">
        <is>
          <t>https://coefficientgiving.org/funds/global-health-wellbeing-opportunities/request-for-proposals-global-health-and-wellbeing-in-an-era-of-transformative-ai/</t>
        </is>
      </c>
    </row>
    <row r="40">
      <c r="A40" t="n">
        <v>2</v>
      </c>
      <c r="B40" t="inlineStr">
        <is>
          <t>Zetta Venture Partners</t>
        </is>
      </c>
      <c r="C40" t="inlineStr">
        <is>
          <t>Zetta Venture Partners</t>
        </is>
      </c>
      <c r="D40" t="inlineStr">
        <is>
          <t>Investor</t>
        </is>
      </c>
      <c r="E40" t="inlineStr">
        <is>
          <t>US / Europe - SF</t>
        </is>
      </c>
      <c r="G40" t="inlineStr">
        <is>
          <t>USD</t>
        </is>
      </c>
      <c r="H40" t="inlineStr">
        <is>
          <t>AI-native B2B only (AI/ML must be the core product, not a feature); pre-seed named but sweet spot is seed. HealthTech in scope. Must be framed as core-ML (drift/performance monitoring), not a compliance wrapper. Cold route unconfirmed - likely warm intro.</t>
        </is>
      </c>
      <c r="I40" t="n">
        <v>4</v>
      </c>
      <c r="J40" t="inlineStr">
        <is>
          <t>Rolling</t>
        </is>
      </c>
      <c r="K40" t="inlineStr">
        <is>
          <t>3-6</t>
        </is>
      </c>
      <c r="L40" t="inlineStr">
        <is>
          <t>Researching</t>
        </is>
      </c>
      <c r="M40" t="inlineStr">
        <is>
          <t>Lara</t>
        </is>
      </c>
      <c r="N40" t="inlineStr">
        <is>
          <t>Confirm the submission channel on zettavp.com and frame the product as core-ML; warm intro via CHAI / health-AI operators.</t>
        </is>
      </c>
      <c r="O40" t="inlineStr">
        <is>
          <t>https://www.zettavp.com/</t>
        </is>
      </c>
    </row>
    <row r="41">
      <c r="A41" t="n">
        <v>2</v>
      </c>
      <c r="B41" t="inlineStr">
        <is>
          <t>Nina Capital</t>
        </is>
      </c>
      <c r="C41" t="inlineStr">
        <is>
          <t>Nina Capital</t>
        </is>
      </c>
      <c r="D41" t="inlineStr">
        <is>
          <t>Investor</t>
        </is>
      </c>
      <c r="E41" t="inlineStr">
        <is>
          <t>Europe / North America - Barcelona</t>
        </is>
      </c>
      <c r="F41" t="n">
        <v>1500000</v>
      </c>
      <c r="G41" t="inlineStr">
        <is>
          <t>EUR</t>
        </is>
      </c>
      <c r="H41" t="inlineStr">
        <is>
          <t>Healthcare-only fund with explicit pre-seed appetite; invests in North America. 'Need-driven' healthtech + AI/ML thesis = strongest thematic match. No drugs/vaccines. Open cold route.</t>
        </is>
      </c>
      <c r="I41" t="n">
        <v>5</v>
      </c>
      <c r="J41" t="inlineStr">
        <is>
          <t>Rolling</t>
        </is>
      </c>
      <c r="K41" t="inlineStr">
        <is>
          <t>2-4</t>
        </is>
      </c>
      <c r="L41" t="inlineStr">
        <is>
          <t>Eligible</t>
        </is>
      </c>
      <c r="M41" t="inlineStr">
        <is>
          <t>Lara</t>
        </is>
      </c>
      <c r="N41" t="inlineStr">
        <is>
          <t>Submit the pitch deck to dealflow@nina.capital (healthcare-only pre-seed; strongest thematic fit of the new batch).</t>
        </is>
      </c>
      <c r="O41" t="inlineStr">
        <is>
          <t>https://www.nina.capital/</t>
        </is>
      </c>
    </row>
    <row r="42">
      <c r="A42" t="n">
        <v>2</v>
      </c>
      <c r="B42" t="inlineStr">
        <is>
          <t>2048 Ventures</t>
        </is>
      </c>
      <c r="C42" t="inlineStr">
        <is>
          <t>2048 Ventures</t>
        </is>
      </c>
      <c r="D42" t="inlineStr">
        <is>
          <t>Investor</t>
        </is>
      </c>
      <c r="E42" t="inlineStr">
        <is>
          <t>US - Boston / NYC</t>
        </is>
      </c>
      <c r="F42" t="n">
        <v>750000</v>
      </c>
      <c r="G42" t="inlineStr">
        <is>
          <t>USD</t>
        </is>
      </c>
      <c r="H42" t="inlineStr">
        <is>
          <t>Pre-seed / first-round fund based in Boston + NYC. Health + Vertical-AI thesis. Pre-Seed Fast Track is cold (no warm intro), decision in ~10 business days. Eligible if not already raised &gt;$2M (SafeAI qualifies). Pre-incorporation acceptable.</t>
        </is>
      </c>
      <c r="I42" t="n">
        <v>5</v>
      </c>
      <c r="J42" t="inlineStr">
        <is>
          <t>Rolling</t>
        </is>
      </c>
      <c r="K42" t="inlineStr">
        <is>
          <t>3-5</t>
        </is>
      </c>
      <c r="L42" t="inlineStr">
        <is>
          <t>Eligible</t>
        </is>
      </c>
      <c r="M42" t="inlineStr">
        <is>
          <t>Lara</t>
        </is>
      </c>
      <c r="N42" t="inlineStr">
        <is>
          <t>Apply via the Pre-Seed Fast Track form at 2048.vc (Boston-based; cold route; ~10-business-day decision).</t>
        </is>
      </c>
      <c r="O42" t="inlineStr">
        <is>
          <t>https://www.2048.vc/</t>
        </is>
      </c>
    </row>
    <row r="43">
      <c r="A43" t="n">
        <v>2</v>
      </c>
      <c r="B43" t="inlineStr">
        <is>
          <t>AIX Ventures</t>
        </is>
      </c>
      <c r="C43" t="inlineStr">
        <is>
          <t>AIX Ventures</t>
        </is>
      </c>
      <c r="D43" t="inlineStr">
        <is>
          <t>Investor</t>
        </is>
      </c>
      <c r="E43" t="inlineStr">
        <is>
          <t>US - SF</t>
        </is>
      </c>
      <c r="G43" t="inlineStr">
        <is>
          <t>USD</t>
        </is>
      </c>
      <c r="H43" t="inlineStr">
        <is>
          <t>AI-native only (AI must be the core competitive advantage); healthcare interest stated. Practitioner GPs scrutinise the technical AI core - must show proprietary ML (drift/performance monitoring), not process tooling. Warm intro strongly favoured.</t>
        </is>
      </c>
      <c r="I43" t="n">
        <v>4</v>
      </c>
      <c r="J43" t="inlineStr">
        <is>
          <t>Rolling</t>
        </is>
      </c>
      <c r="K43" t="inlineStr">
        <is>
          <t>3-5</t>
        </is>
      </c>
      <c r="L43" t="inlineStr">
        <is>
          <t>Researching</t>
        </is>
      </c>
      <c r="M43" t="inlineStr">
        <is>
          <t>Lara</t>
        </is>
      </c>
      <c r="N43" t="inlineStr">
        <is>
          <t>Secure an academic-AI / CHAI warm intro; lead with proprietary-ML defensibility (not compliance tooling).</t>
        </is>
      </c>
      <c r="O43" t="inlineStr">
        <is>
          <t>https://www.aixventures.com/</t>
        </is>
      </c>
    </row>
    <row r="44">
      <c r="A44" t="n">
        <v>2</v>
      </c>
      <c r="B44" t="inlineStr">
        <is>
          <t>Basis Set Ventures</t>
        </is>
      </c>
      <c r="C44" t="inlineStr">
        <is>
          <t>Basis Set Ventures</t>
        </is>
      </c>
      <c r="D44" t="inlineStr">
        <is>
          <t>Investor</t>
        </is>
      </c>
      <c r="E44" t="inlineStr">
        <is>
          <t>US - SF</t>
        </is>
      </c>
      <c r="G44" t="inlineStr">
        <is>
          <t>USD</t>
        </is>
      </c>
      <c r="H44" t="inlineStr">
        <is>
          <t>AI/ML for productivity &amp; infrastructure; healthcare is NOT a stated thesis. Pre-seed done selectively/secondarily. Marginal fit - only if framed as enterprise-AI automation for health systems. Low priority.</t>
        </is>
      </c>
      <c r="I44" t="n">
        <v>2</v>
      </c>
      <c r="J44" t="inlineStr">
        <is>
          <t>Rolling</t>
        </is>
      </c>
      <c r="K44" t="inlineStr">
        <is>
          <t>2-4</t>
        </is>
      </c>
      <c r="L44" t="inlineStr">
        <is>
          <t>Researching</t>
        </is>
      </c>
      <c r="M44" t="inlineStr">
        <is>
          <t>Lara</t>
        </is>
      </c>
      <c r="N44" t="inlineStr">
        <is>
          <t>Low priority; only pursue if framing SafeAI as enterprise-AI automation. Cold note via basisset.com.</t>
        </is>
      </c>
      <c r="O44" t="inlineStr">
        <is>
          <t>https://www.basisset.com/</t>
        </is>
      </c>
    </row>
    <row r="45">
      <c r="A45" t="n">
        <v>2</v>
      </c>
      <c r="B45" t="inlineStr">
        <is>
          <t>Air Street Capital</t>
        </is>
      </c>
      <c r="C45" t="inlineStr">
        <is>
          <t>Air Street Capital</t>
        </is>
      </c>
      <c r="D45" t="inlineStr">
        <is>
          <t>Investor</t>
        </is>
      </c>
      <c r="E45" t="inlineStr">
        <is>
          <t>US / Europe - London</t>
        </is>
      </c>
      <c r="F45" t="n">
        <v>5000000</v>
      </c>
      <c r="G45" t="inlineStr">
        <is>
          <t>USD</t>
        </is>
      </c>
      <c r="H45" t="inlineStr">
        <is>
          <t>AI-first fund incl. TechBio / AI-native life sciences; made a 2025 healthcare deal. Explicit pre-seed/seed ($500K-$5M). Solo-GP, thesis-driven - AI-capability narrative matters more than traction. Direct cold-email route.</t>
        </is>
      </c>
      <c r="I45" t="n">
        <v>4</v>
      </c>
      <c r="J45" t="inlineStr">
        <is>
          <t>Rolling</t>
        </is>
      </c>
      <c r="K45" t="inlineStr">
        <is>
          <t>2-4</t>
        </is>
      </c>
      <c r="L45" t="inlineStr">
        <is>
          <t>Eligible</t>
        </is>
      </c>
      <c r="M45" t="inlineStr">
        <is>
          <t>Lara</t>
        </is>
      </c>
      <c r="N45" t="inlineStr">
        <is>
          <t>Email Nathan Benaich (nathan@airstreet.com) with the core AI capability + stage; a CHAI / academic-AI intro warms it.</t>
        </is>
      </c>
      <c r="O45" t="inlineStr">
        <is>
          <t>https://www.airstreet.com/</t>
        </is>
      </c>
    </row>
    <row r="46">
      <c r="A46" t="n">
        <v>2</v>
      </c>
      <c r="B46" t="inlineStr">
        <is>
          <t>Y Combinator</t>
        </is>
      </c>
      <c r="C46" t="inlineStr">
        <is>
          <t>Y Combinator</t>
        </is>
      </c>
      <c r="D46" t="inlineStr">
        <is>
          <t>Investor</t>
        </is>
      </c>
      <c r="E46" t="inlineStr">
        <is>
          <t>Global - SF batch</t>
        </is>
      </c>
      <c r="F46" t="n">
        <v>500000</v>
      </c>
      <c r="G46" t="inlineStr">
        <is>
          <t>USD</t>
        </is>
      </c>
      <c r="H46" t="inlineStr">
        <is>
          <t>Pre-seed accelerator; accepts pre-revenue/idea-stage and pre-incorporation founders. Standard DILUTIVE deal: $125K for 7% + $375K uncapped SAFE (~$500K, ~9-10% total). Deep clinical-AI portfolio. In-person SF batch = relocation. Founder must hold &gt;=10% equity. Batch deadlines.</t>
        </is>
      </c>
      <c r="I46" t="n">
        <v>4</v>
      </c>
      <c r="J46" t="inlineStr">
        <is>
          <t>Batch-based (next window; Fall 2026 closed 27 Jul 2026)</t>
        </is>
      </c>
      <c r="K46" t="inlineStr">
        <is>
          <t>8-15</t>
        </is>
      </c>
      <c r="L46" t="inlineStr">
        <is>
          <t>Eligible</t>
        </is>
      </c>
      <c r="M46" t="inlineStr">
        <is>
          <t>Lara</t>
        </is>
      </c>
      <c r="N46" t="inlineStr">
        <is>
          <t>Target the next batch (Fall 2026 deadline passed); complete the cold application at ycombinator.com/apply. Weigh SF relocation + ~10% dilution.</t>
        </is>
      </c>
      <c r="O46" t="inlineStr">
        <is>
          <t>https://www.ycombinator.com/apply</t>
        </is>
      </c>
    </row>
    <row r="47">
      <c r="A47" t="n">
        <v>2</v>
      </c>
      <c r="B47" t="inlineStr">
        <is>
          <t>Afore Capital</t>
        </is>
      </c>
      <c r="C47" t="inlineStr">
        <is>
          <t>Afore Capital</t>
        </is>
      </c>
      <c r="D47" t="inlineStr">
        <is>
          <t>Investor</t>
        </is>
      </c>
      <c r="E47" t="inlineStr">
        <is>
          <t>US - SF</t>
        </is>
      </c>
      <c r="F47" t="n">
        <v>2000000</v>
      </c>
      <c r="G47" t="inlineStr">
        <is>
          <t>USD</t>
        </is>
      </c>
      <c r="H47" t="inlineStr">
        <is>
          <t>Dedicated pre-seed / pre-formation fund (backs founders before traction; pre-incorporation acceptable). Health + AI in scope; founder-conviction weighted over market analysis. Open cold pitch form; fast decisions.</t>
        </is>
      </c>
      <c r="I47" t="n">
        <v>5</v>
      </c>
      <c r="J47" t="inlineStr">
        <is>
          <t>Rolling</t>
        </is>
      </c>
      <c r="K47" t="inlineStr">
        <is>
          <t>2-4</t>
        </is>
      </c>
      <c r="L47" t="inlineStr">
        <is>
          <t>Eligible</t>
        </is>
      </c>
      <c r="M47" t="inlineStr">
        <is>
          <t>Lara</t>
        </is>
      </c>
      <c r="N47" t="inlineStr">
        <is>
          <t>Submit the cold pitch form at afore.vc/pitch; lead with the Harvard DrPH founder story.</t>
        </is>
      </c>
      <c r="O47" t="inlineStr">
        <is>
          <t>https://www.afore.vc/pitch</t>
        </is>
      </c>
    </row>
    <row r="48">
      <c r="A48" t="n">
        <v>2</v>
      </c>
      <c r="B48" t="inlineStr">
        <is>
          <t>Susa Ventures</t>
        </is>
      </c>
      <c r="C48" t="inlineStr">
        <is>
          <t>Susa Ventures</t>
        </is>
      </c>
      <c r="D48" t="inlineStr">
        <is>
          <t>Investor</t>
        </is>
      </c>
      <c r="E48" t="inlineStr">
        <is>
          <t>US - SF</t>
        </is>
      </c>
      <c r="F48" t="n">
        <v>2000000</v>
      </c>
      <c r="G48" t="inlineStr">
        <is>
          <t>USD</t>
        </is>
      </c>
      <c r="H48" t="inlineStr">
        <is>
          <t>Pre-seed stated but seed-weighted (leads seed rounds). AI + healthcare + digital health named sectors. May expect more formation/traction than a pure pre-seed fund. Warm intro preferred; cold mechanism unconfirmed.</t>
        </is>
      </c>
      <c r="I48" t="n">
        <v>3</v>
      </c>
      <c r="J48" t="inlineStr">
        <is>
          <t>Rolling</t>
        </is>
      </c>
      <c r="K48" t="inlineStr">
        <is>
          <t>3-5</t>
        </is>
      </c>
      <c r="L48" t="inlineStr">
        <is>
          <t>Researching</t>
        </is>
      </c>
      <c r="M48" t="inlineStr">
        <is>
          <t>Lara</t>
        </is>
      </c>
      <c r="N48" t="inlineStr">
        <is>
          <t>Confirm they'll write a first pre-incorporation check; route a warm intro via CHAI / HealthLab or a digital-health portfolio founder.</t>
        </is>
      </c>
      <c r="O48" t="inlineStr">
        <is>
          <t>https://www.susaventures.com/</t>
        </is>
      </c>
    </row>
    <row r="49">
      <c r="A49" t="n">
        <v>2</v>
      </c>
      <c r="B49" t="inlineStr">
        <is>
          <t>Village Global</t>
        </is>
      </c>
      <c r="C49" t="inlineStr">
        <is>
          <t>Village Global</t>
        </is>
      </c>
      <c r="D49" t="inlineStr">
        <is>
          <t>Investor</t>
        </is>
      </c>
      <c r="E49" t="inlineStr">
        <is>
          <t>US</t>
        </is>
      </c>
      <c r="F49" t="n">
        <v>3000000</v>
      </c>
      <c r="G49" t="inlineStr">
        <is>
          <t>USD</t>
        </is>
      </c>
      <c r="H49" t="inlineStr">
        <is>
          <t>Network-driven pre-seed/seed ($500K-$3M); the Velocity pre-seed program invests up to $1M with 'particular depth in healthcare.' Referral-preferred but a form + hello@villageglobal.vc exist. Pre-incorporation OK.</t>
        </is>
      </c>
      <c r="I49" t="n">
        <v>4</v>
      </c>
      <c r="J49" t="inlineStr">
        <is>
          <t>Rolling</t>
        </is>
      </c>
      <c r="K49" t="inlineStr">
        <is>
          <t>2-4</t>
        </is>
      </c>
      <c r="L49" t="inlineStr">
        <is>
          <t>Eligible</t>
        </is>
      </c>
      <c r="M49" t="inlineStr">
        <is>
          <t>Lara</t>
        </is>
      </c>
      <c r="N49" t="inlineStr">
        <is>
          <t>Seek an intro via a Village Global Network Leader / portfolio founder; otherwise apply through the Velocity form.</t>
        </is>
      </c>
      <c r="O49" t="inlineStr">
        <is>
          <t>https://www.villageglobal.com/velocity</t>
        </is>
      </c>
    </row>
    <row r="50">
      <c r="A50" t="n">
        <v>2</v>
      </c>
      <c r="B50" t="inlineStr">
        <is>
          <t>January Ventures</t>
        </is>
      </c>
      <c r="C50" t="inlineStr">
        <is>
          <t>January Ventures</t>
        </is>
      </c>
      <c r="D50" t="inlineStr">
        <is>
          <t>Investor</t>
        </is>
      </c>
      <c r="E50" t="inlineStr">
        <is>
          <t>US / Europe - Boston</t>
        </is>
      </c>
      <c r="F50" t="n">
        <v>500000</v>
      </c>
      <c r="G50" t="inlineStr">
        <is>
          <t>USD</t>
        </is>
      </c>
      <c r="H50" t="inlineStr">
        <is>
          <t>Pre-seed fund that explicitly invests BEFORE product/customers/revenue - ideal for a pre-incorporation company. Boston + London. B2B incl. digital health; female / underdog-founder thesis. Cold ~2-minute form, no deck or warm intro needed (lowest-friction route of the batch).</t>
        </is>
      </c>
      <c r="I50" t="n">
        <v>5</v>
      </c>
      <c r="J50" t="inlineStr">
        <is>
          <t>Rolling</t>
        </is>
      </c>
      <c r="K50" t="inlineStr">
        <is>
          <t>1-2</t>
        </is>
      </c>
      <c r="L50" t="inlineStr">
        <is>
          <t>Eligible</t>
        </is>
      </c>
      <c r="M50" t="inlineStr">
        <is>
          <t>Lara</t>
        </is>
      </c>
      <c r="N50" t="inlineStr">
        <is>
          <t>Complete the ~2-minute cold form at january.ventures (Boston; no deck required; pre-product mandate fits SafeAI).</t>
        </is>
      </c>
      <c r="O50" t="inlineStr">
        <is>
          <t>https://www.january.ventures/</t>
        </is>
      </c>
    </row>
    <row r="51">
      <c r="A51" t="n">
        <v>2</v>
      </c>
      <c r="B51" t="inlineStr">
        <is>
          <t>Broadway Angels</t>
        </is>
      </c>
      <c r="C51" t="inlineStr">
        <is>
          <t>Broadway Angels</t>
        </is>
      </c>
      <c r="D51" t="inlineStr">
        <is>
          <t>Investor</t>
        </is>
      </c>
      <c r="E51" t="inlineStr">
        <is>
          <t>US - SF</t>
        </is>
      </c>
      <c r="F51" t="n">
        <v>50000</v>
      </c>
      <c r="G51" t="inlineStr">
        <is>
          <t>USD</t>
        </is>
      </c>
      <c r="H51" t="inlineStr">
        <is>
          <t>All-female group of VC GPs &amp; senior tech execs; pre-seed/seed, digital health + IT, receptive to women founders. Small checks (~$5K-$50K) but high-signal network / follow-on value. No public form - warm intro required.</t>
        </is>
      </c>
      <c r="I51" t="n">
        <v>3</v>
      </c>
      <c r="J51" t="inlineStr">
        <is>
          <t>Rolling</t>
        </is>
      </c>
      <c r="K51" t="inlineStr">
        <is>
          <t>3-6</t>
        </is>
      </c>
      <c r="L51" t="inlineStr">
        <is>
          <t>Researching</t>
        </is>
      </c>
      <c r="M51" t="inlineStr">
        <is>
          <t>Lara</t>
        </is>
      </c>
      <c r="N51" t="inlineStr">
        <is>
          <t>Map the shortest warm-intro path (Signal/nfx) via CHAI / i-Lab mentors; no cold route exists.</t>
        </is>
      </c>
      <c r="O51" t="inlineStr">
        <is>
          <t>https://www.broadway-angels.com/</t>
        </is>
      </c>
    </row>
    <row r="52">
      <c r="A52" t="inlineStr">
        <is>
          <t>Triage</t>
        </is>
      </c>
      <c r="B52" t="inlineStr">
        <is>
          <t>Grant to identify #1 (share.google link)</t>
        </is>
      </c>
      <c r="C52" t="inlineStr">
        <is>
          <t>Unknown - resolve link</t>
        </is>
      </c>
      <c r="D52" t="inlineStr">
        <is>
          <t>Grant (unverified)</t>
        </is>
      </c>
      <c r="H52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2" t="n"/>
      <c r="L52" t="inlineStr">
        <is>
          <t>Researching</t>
        </is>
      </c>
      <c r="M52" t="inlineStr">
        <is>
          <t>Lara</t>
        </is>
      </c>
      <c r="N52" t="inlineStr">
        <is>
          <t>Resolve link #1 (open it or paste the destination URL / grant name); then verify funder, amount, deadline, and eligibility.</t>
        </is>
      </c>
      <c r="O52" t="inlineStr">
        <is>
          <t>https://share.google/9zSHYE5KA0gu5XX5V</t>
        </is>
      </c>
    </row>
    <row r="53">
      <c r="A53" t="inlineStr">
        <is>
          <t>Triage</t>
        </is>
      </c>
      <c r="B53" t="inlineStr">
        <is>
          <t>Grant to identify #2 (share.google link)</t>
        </is>
      </c>
      <c r="C53" t="inlineStr">
        <is>
          <t>Unknown - resolve link</t>
        </is>
      </c>
      <c r="D53" t="inlineStr">
        <is>
          <t>Grant (unverified)</t>
        </is>
      </c>
      <c r="H53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3" t="n"/>
      <c r="L53" t="inlineStr">
        <is>
          <t>Researching</t>
        </is>
      </c>
      <c r="M53" t="inlineStr">
        <is>
          <t>Lara</t>
        </is>
      </c>
      <c r="N53" t="inlineStr">
        <is>
          <t>Resolve link #2 (open it or paste the destination URL / grant name); then verify funder, amount, deadline, and eligibility.</t>
        </is>
      </c>
      <c r="O53" t="inlineStr">
        <is>
          <t>https://share.google/s7xWCT7crmTazEj7t</t>
        </is>
      </c>
    </row>
    <row r="54">
      <c r="A54" t="inlineStr">
        <is>
          <t>Triage</t>
        </is>
      </c>
      <c r="B54" t="inlineStr">
        <is>
          <t>Grant to identify #3 (share.google link)</t>
        </is>
      </c>
      <c r="C54" t="inlineStr">
        <is>
          <t>Unknown - resolve link</t>
        </is>
      </c>
      <c r="D54" t="inlineStr">
        <is>
          <t>Grant (unverified)</t>
        </is>
      </c>
      <c r="H54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4" t="n"/>
      <c r="L54" t="inlineStr">
        <is>
          <t>Researching</t>
        </is>
      </c>
      <c r="M54" t="inlineStr">
        <is>
          <t>Lara</t>
        </is>
      </c>
      <c r="N54" t="inlineStr">
        <is>
          <t>Resolve link #3 (open it or paste the destination URL / grant name); then verify funder, amount, deadline, and eligibility.</t>
        </is>
      </c>
      <c r="O54" t="inlineStr">
        <is>
          <t>https://share.google/AM8yfJTwPWBEThxfl</t>
        </is>
      </c>
    </row>
    <row r="55">
      <c r="A55" t="inlineStr">
        <is>
          <t>Triage</t>
        </is>
      </c>
      <c r="B55" t="inlineStr">
        <is>
          <t>Grant to identify #4 (share.google link)</t>
        </is>
      </c>
      <c r="C55" t="inlineStr">
        <is>
          <t>Unknown - resolve link</t>
        </is>
      </c>
      <c r="D55" t="inlineStr">
        <is>
          <t>Grant (unverified)</t>
        </is>
      </c>
      <c r="H55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5" t="n"/>
      <c r="L55" t="inlineStr">
        <is>
          <t>Researching</t>
        </is>
      </c>
      <c r="M55" t="inlineStr">
        <is>
          <t>Lara</t>
        </is>
      </c>
      <c r="N55" t="inlineStr">
        <is>
          <t>Resolve link #4 (open it or paste the destination URL / grant name); then verify funder, amount, deadline, and eligibility.</t>
        </is>
      </c>
      <c r="O55" t="inlineStr">
        <is>
          <t>https://share.google/1mw6JD6kJkYIlH9TR</t>
        </is>
      </c>
    </row>
    <row r="56">
      <c r="A56" t="inlineStr">
        <is>
          <t>Triage</t>
        </is>
      </c>
      <c r="B56" t="inlineStr">
        <is>
          <t>Grant to identify #5 (share.google link)</t>
        </is>
      </c>
      <c r="C56" t="inlineStr">
        <is>
          <t>Unknown - resolve link</t>
        </is>
      </c>
      <c r="D56" t="inlineStr">
        <is>
          <t>Grant (unverified)</t>
        </is>
      </c>
      <c r="H56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6" t="n"/>
      <c r="L56" t="inlineStr">
        <is>
          <t>Researching</t>
        </is>
      </c>
      <c r="M56" t="inlineStr">
        <is>
          <t>Lara</t>
        </is>
      </c>
      <c r="N56" t="inlineStr">
        <is>
          <t>Resolve link #5 (open it or paste the destination URL / grant name); then verify funder, amount, deadline, and eligibility.</t>
        </is>
      </c>
      <c r="O56" t="inlineStr">
        <is>
          <t>https://share.google/CerWenXESJ13cRnhZ</t>
        </is>
      </c>
    </row>
    <row r="57">
      <c r="A57" t="inlineStr">
        <is>
          <t>Triage</t>
        </is>
      </c>
      <c r="B57" t="inlineStr">
        <is>
          <t>Grant to identify #6 (share.google link)</t>
        </is>
      </c>
      <c r="C57" t="inlineStr">
        <is>
          <t>Unknown - resolve link</t>
        </is>
      </c>
      <c r="D57" t="inlineStr">
        <is>
          <t>Grant (unverified)</t>
        </is>
      </c>
      <c r="H57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7" t="n"/>
      <c r="L57" t="inlineStr">
        <is>
          <t>Researching</t>
        </is>
      </c>
      <c r="M57" t="inlineStr">
        <is>
          <t>Lara</t>
        </is>
      </c>
      <c r="N57" t="inlineStr">
        <is>
          <t>Resolve link #6 (open it or paste the destination URL / grant name); then verify funder, amount, deadline, and eligibility.</t>
        </is>
      </c>
      <c r="O57" t="inlineStr">
        <is>
          <t>https://share.google/SQdBs8RhlxauVQNqX</t>
        </is>
      </c>
    </row>
    <row r="58">
      <c r="A58" t="inlineStr">
        <is>
          <t>Triage</t>
        </is>
      </c>
      <c r="B58" t="inlineStr">
        <is>
          <t>Grant to identify #7 (share.google link)</t>
        </is>
      </c>
      <c r="C58" t="inlineStr">
        <is>
          <t>Unknown - resolve link</t>
        </is>
      </c>
      <c r="D58" t="inlineStr">
        <is>
          <t>Grant (unverified)</t>
        </is>
      </c>
      <c r="H58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8" t="n"/>
      <c r="L58" t="inlineStr">
        <is>
          <t>Researching</t>
        </is>
      </c>
      <c r="M58" t="inlineStr">
        <is>
          <t>Lara</t>
        </is>
      </c>
      <c r="N58" t="inlineStr">
        <is>
          <t>Resolve link #7 (open it or paste the destination URL / grant name); then verify funder, amount, deadline, and eligibility.</t>
        </is>
      </c>
      <c r="O58" t="inlineStr">
        <is>
          <t>https://share.google/6WnqpweYBP2E7sbhw</t>
        </is>
      </c>
    </row>
    <row r="59">
      <c r="A59" t="inlineStr">
        <is>
          <t>Triage</t>
        </is>
      </c>
      <c r="B59" t="inlineStr">
        <is>
          <t>Grant to identify #8 (share.google link)</t>
        </is>
      </c>
      <c r="C59" t="inlineStr">
        <is>
          <t>Unknown - resolve link</t>
        </is>
      </c>
      <c r="D59" t="inlineStr">
        <is>
          <t>Grant (unverified)</t>
        </is>
      </c>
      <c r="H59" t="inlineStr">
        <is>
          <t>Unidentified - the share.google redirect could not be opened in this session (egress policy). Resolve the URL to determine funder, entity/incorporation/ownership/visa eligibility, amount, and deadline before this row is treated as fact.</t>
        </is>
      </c>
      <c r="J59" t="n"/>
      <c r="L59" t="inlineStr">
        <is>
          <t>Researching</t>
        </is>
      </c>
      <c r="M59" t="inlineStr">
        <is>
          <t>Lara</t>
        </is>
      </c>
      <c r="N59" t="inlineStr">
        <is>
          <t>Resolve link #8 (open it or paste the destination URL / grant name); then verify funder, amount, deadline, and eligibility.</t>
        </is>
      </c>
      <c r="O59" t="inlineStr">
        <is>
          <t>https://share.google/xRA7UAMRJAnQkyusM</t>
        </is>
      </c>
    </row>
  </sheetData>
  <dataValidations count="4">
    <dataValidation sqref="L2:L500" showDropDown="0" showInputMessage="0" showErrorMessage="0" allowBlank="1" type="list">
      <formula1>"Researching,Eligible,Not eligible,Drafting,Submitted,Won,Dead"</formula1>
      <formula2>0</formula2>
    </dataValidation>
    <dataValidation sqref="I2:I500" showDropDown="0" showInputMessage="0" showErrorMessage="0" allowBlank="1" type="list">
      <formula1>"1,2,3,4,5"</formula1>
      <formula2>0</formula2>
    </dataValidation>
    <dataValidation sqref="L2:L500" showDropDown="0" showInputMessage="0" showErrorMessage="0" allowBlank="1" errorTitle="Invalid status" error="Use one of: Researching, Eligible, Not eligible, Drafting, Submitted, Won, Dead" type="list">
      <formula1>"Researching,Eligible,Not eligible,Drafting,Submitted,Won,Dead"</formula1>
    </dataValidation>
    <dataValidation sqref="I2:I500" showDropDown="0" showInputMessage="0" showErrorMessage="0" allowBlank="1" errorTitle="Invalid fit score" error="Fit score must be an integer 1-5" type="whole" operator="between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6" customWidth="1" min="4" max="4"/>
    <col width="24" customWidth="1" min="5" max="5"/>
    <col width="6" customWidth="1" min="6" max="6"/>
    <col width="10" customWidth="1" min="7" max="7"/>
    <col width="60" customWidth="1" min="8" max="8"/>
  </cols>
  <sheetData>
    <row r="1" ht="22" customHeight="1">
      <c r="A1" s="10" t="inlineStr">
        <is>
          <t>Application Calendar - Top 5 by deadline &amp; fit</t>
        </is>
      </c>
    </row>
    <row r="2">
      <c r="A2" s="11" t="inlineStr">
        <is>
          <t>Sequenced from the Funding Dashboard. Dilutive items are marked. All dates are search-verified (2026-08-11), not live-page confirmed - confirm each on the official page before acting.</t>
        </is>
      </c>
    </row>
    <row r="4">
      <c r="A4" s="12" t="inlineStr">
        <is>
          <t>Priority</t>
        </is>
      </c>
      <c r="B4" s="12" t="inlineStr">
        <is>
          <t>Deadline</t>
        </is>
      </c>
      <c r="C4" s="12" t="inlineStr">
        <is>
          <t>Opportunity</t>
        </is>
      </c>
      <c r="D4" s="12" t="inlineStr">
        <is>
          <t>Funder</t>
        </is>
      </c>
      <c r="E4" s="12" t="inlineStr">
        <is>
          <t>Workstream</t>
        </is>
      </c>
      <c r="F4" s="12" t="inlineStr">
        <is>
          <t>Fit</t>
        </is>
      </c>
      <c r="G4" s="12" t="inlineStr">
        <is>
          <t>Est. Hours</t>
        </is>
      </c>
      <c r="H4" s="12" t="inlineStr">
        <is>
          <t>Action to take now</t>
        </is>
      </c>
    </row>
    <row r="5" ht="70" customHeight="1">
      <c r="A5" s="13" t="inlineStr">
        <is>
          <t>1 - URGENT</t>
        </is>
      </c>
      <c r="B5" s="13" t="inlineStr">
        <is>
          <t>21 Aug 2026</t>
        </is>
      </c>
      <c r="C5" s="13" t="inlineStr">
        <is>
          <t>GH&amp;W in an Era of Transformative AI (RFP)</t>
        </is>
      </c>
      <c r="D5" s="13" t="inlineStr">
        <is>
          <t>Open Philanthropy / Coefficient Giving</t>
        </is>
      </c>
      <c r="E5" s="13" t="inlineStr">
        <is>
          <t>3 - Philanthropic (non-dilutive)</t>
        </is>
      </c>
      <c r="F5" s="13" t="n">
        <v>5</v>
      </c>
      <c r="G5" s="13" t="inlineStr">
        <is>
          <t>15-30</t>
        </is>
      </c>
      <c r="H5" s="13" t="inlineStr">
        <is>
          <t>Confirm the 21 Aug deadline on the official page TODAY and decide go/no-go with Lara. Strongest thematic fit; up to $10M; LMIC-engaged proposals encouraged.</t>
        </is>
      </c>
    </row>
    <row r="6" ht="70" customHeight="1">
      <c r="A6" s="14" t="inlineStr">
        <is>
          <t>2</t>
        </is>
      </c>
      <c r="B6" s="14" t="inlineStr">
        <is>
          <t>31 Oct 2026</t>
        </is>
      </c>
      <c r="C6" s="14" t="inlineStr">
        <is>
          <t>Rainer Arnhold Fellowship (~$100k)</t>
        </is>
      </c>
      <c r="D6" s="14" t="inlineStr">
        <is>
          <t>Mulago Foundation</t>
        </is>
      </c>
      <c r="E6" s="14" t="inlineStr">
        <is>
          <t>3 - Philanthropic (non-dilutive)</t>
        </is>
      </c>
      <c r="F6" s="14" t="n">
        <v>5</v>
      </c>
      <c r="G6" s="14" t="inlineStr">
        <is>
          <t>8-15</t>
        </is>
      </c>
      <c r="H6" s="14" t="inlineStr">
        <is>
          <t>Confirm the deadline &amp; current cycle on the official portal, then prepare the application. Fiscal sponsorship / in-registration entities explicitly eligible - fits SafeAI's pre-incorporation status.</t>
        </is>
      </c>
    </row>
    <row r="7" ht="70" customHeight="1">
      <c r="A7" s="14" t="inlineStr">
        <is>
          <t>3</t>
        </is>
      </c>
      <c r="B7" s="14" t="inlineStr">
        <is>
          <t>Rolling (start now)</t>
        </is>
      </c>
      <c r="C7" s="14" t="inlineStr">
        <is>
          <t>Early social-enterprise funding (~$300k/3yr)</t>
        </is>
      </c>
      <c r="D7" s="14" t="inlineStr">
        <is>
          <t>Draper Richards Kaplan (DRK)</t>
        </is>
      </c>
      <c r="E7" s="14" t="inlineStr">
        <is>
          <t>3 - Philanthropic (non-dilutive)</t>
        </is>
      </c>
      <c r="F7" s="14" t="n">
        <v>5</v>
      </c>
      <c r="G7" s="14" t="inlineStr">
        <is>
          <t>1-3</t>
        </is>
      </c>
      <c r="H7" s="14" t="inlineStr">
        <is>
          <t>Submit the rolling online application (~1-3h). Accepts for-profits AND fiscal sponsorship - best structural fit. Line up a fiscal sponsor (e.g. Multiplier / TSNE) to strengthen it.</t>
        </is>
      </c>
    </row>
    <row r="8" ht="70" customHeight="1">
      <c r="A8" s="14" t="inlineStr">
        <is>
          <t>4</t>
        </is>
      </c>
      <c r="B8" s="14" t="inlineStr">
        <is>
          <t>Rolling (start now)</t>
        </is>
      </c>
      <c r="C8" s="14" t="inlineStr">
        <is>
          <t>Pre-seed investment (up to ~$500k)</t>
        </is>
      </c>
      <c r="D8" s="14" t="inlineStr">
        <is>
          <t>Precursor Ventures</t>
        </is>
      </c>
      <c r="E8" s="14" t="inlineStr">
        <is>
          <t>2 - Investor (DILUTIVE)</t>
        </is>
      </c>
      <c r="F8" s="14" t="n">
        <v>5</v>
      </c>
      <c r="G8" s="14" t="inlineStr">
        <is>
          <t>3-6</t>
        </is>
      </c>
      <c r="H8" s="14" t="inlineStr">
        <is>
          <t>Submit the cold application at precursorvc.com/startup. Explicit pre-seed + digital-health thesis; lead with Harvard DrPH founder-market fit. (Dilutive - keep out of grant reporting.)</t>
        </is>
      </c>
    </row>
    <row r="9" ht="70" customHeight="1">
      <c r="A9" s="14" t="inlineStr">
        <is>
          <t>5</t>
        </is>
      </c>
      <c r="B9" s="14" t="inlineStr">
        <is>
          <t>~Oct 2026 (watch)</t>
        </is>
      </c>
      <c r="C9" s="14" t="inlineStr">
        <is>
          <t>Nucleate Activator - Boston (equity-free)</t>
        </is>
      </c>
      <c r="D9" s="14" t="inlineStr">
        <is>
          <t>Nucleate</t>
        </is>
      </c>
      <c r="E9" s="14" t="inlineStr">
        <is>
          <t>1 - US ecosystem (non-dilutive)</t>
        </is>
      </c>
      <c r="F9" s="14" t="n">
        <v>4</v>
      </c>
      <c r="G9" s="14" t="inlineStr">
        <is>
          <t>5-12</t>
        </is>
      </c>
      <c r="H9" s="14" t="inlineStr">
        <is>
          <t>Confirm the Boston 2026-27 application window and software-venture eligibility. Explicitly welcomes pre-incorporation academic teams; equity-free.</t>
        </is>
      </c>
    </row>
    <row r="11">
      <c r="A11" s="11" t="inlineStr">
        <is>
          <t>Also ready now (non-dilutive on-ramps): Harvard i-Lab Venture Incubation Program (rolling/termly), and the free MA SBDC SBIR advising request (pending Lara's go-ahead). Best-fit Harvard grants (HealthLab Accelerator, Navab/SIFF) have no open call - watch for the Fall 2026 windows.</t>
        </is>
      </c>
    </row>
  </sheetData>
  <mergeCells count="2">
    <mergeCell ref="A11:H11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zoomScaleNormal="100" workbookViewId="0">
      <selection activeCell="A1" sqref="A1"/>
    </sheetView>
  </sheetViews>
  <sheetFormatPr baseColWidth="10" defaultColWidth="8.6640625" defaultRowHeight="15"/>
  <cols>
    <col width="18" customWidth="1" min="1" max="1"/>
    <col width="110" customWidth="1" min="2" max="2"/>
  </cols>
  <sheetData>
    <row r="1" ht="18" customHeight="1">
      <c r="A1" s="1" t="inlineStr">
        <is>
          <t>How to Use This Dashboard</t>
        </is>
      </c>
    </row>
    <row r="3" ht="28" customHeight="1">
      <c r="A3" s="2" t="inlineStr">
        <is>
          <t>Purpose</t>
        </is>
      </c>
      <c r="B3" s="7" t="inlineStr">
        <is>
          <t>Track non-dilutive funding, investors, and philanthropic opportunities in one place. One row per opportunity on the Funding Dashboard sheet.</t>
        </is>
      </c>
    </row>
    <row r="4">
      <c r="A4" s="2" t="inlineStr">
        <is>
          <t>Workstream 1</t>
        </is>
      </c>
      <c r="B4" s="7" t="inlineStr">
        <is>
          <t>US ecosystem grants and accelerators (Harvard, Boston, MA state, MIT Solve) plus the Massachusetts SBDC SBIR advising request.</t>
        </is>
      </c>
    </row>
    <row r="5">
      <c r="A5" s="2" t="inlineStr">
        <is>
          <t>Workstream 2</t>
        </is>
      </c>
      <c r="B5" s="7" t="inlineStr">
        <is>
          <t>Angel investors and pre-seed funds that invest at the pre-revenue stage. Type is always Investor so they never mix into grant reporting.</t>
        </is>
      </c>
    </row>
    <row r="6" ht="28" customHeight="1">
      <c r="A6" s="2" t="inlineStr">
        <is>
          <t>Workstream 3</t>
        </is>
      </c>
      <c r="B6" s="7" t="inlineStr">
        <is>
          <t>Philanthropic funders aligned with the Penda / WHO angle. Record entity types funded and whether fiscal sponsorship is accepted, since the company is unincorporated.</t>
        </is>
      </c>
    </row>
    <row r="7">
      <c r="A7" s="2" t="inlineStr">
        <is>
          <t>Yellow cells</t>
        </is>
      </c>
      <c r="B7" s="7" t="inlineStr">
        <is>
          <t>To be filled only after verification against the current official source: amount, fit, deadline, estimated hours, owner.</t>
        </is>
      </c>
    </row>
    <row r="8">
      <c r="A8" s="2" t="inlineStr">
        <is>
          <t>Fit Score</t>
        </is>
      </c>
      <c r="B8" s="7" t="inlineStr">
        <is>
          <t>5 excellent, 4 good, 3 possible, 2 weak, 1 poor or not applicable.</t>
        </is>
      </c>
    </row>
    <row r="9">
      <c r="A9" s="2" t="inlineStr">
        <is>
          <t>Status</t>
        </is>
      </c>
      <c r="B9" s="7" t="inlineStr">
        <is>
          <t>Dropdown: Researching, Eligible, Not eligible, Drafting, Submitted, Won, Dead.</t>
        </is>
      </c>
    </row>
    <row r="10">
      <c r="A10" s="2" t="inlineStr">
        <is>
          <t>Next Action</t>
        </is>
      </c>
      <c r="B10" s="7" t="inlineStr">
        <is>
          <t>One concrete next step per row. When a fact is verified, note the source page and access date.</t>
        </is>
      </c>
    </row>
    <row r="11" ht="28" customHeight="1">
      <c r="A11" s="2" t="inlineStr">
        <is>
          <t>Important</t>
        </is>
      </c>
      <c r="B11" s="7" t="inlineStr">
        <is>
          <t>Never write a guessed or remembered deadline, amount, or eligibility rule into the sheet. Blank plus a verification next action beats a wrong number.</t>
        </is>
      </c>
    </row>
    <row r="12" ht="28" customHeight="1">
      <c r="A12" s="2" t="inlineStr">
        <is>
          <t>Example row</t>
        </is>
      </c>
      <c r="B12" s="7" t="inlineStr">
        <is>
          <t>Workstream 1 | MassChallenge HealthTech | MassChallenge | Accelerator (equity-free) | US - Massachusetts | 0 (equity-free, non-cash) | USD | No equity taken; verify entity rules | 5 | [verified date] | 10-15 | Eligible | Lumiere | Start application section 1 | masschallenge.org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2026-08-11T19:12:11Z</dcterms:created>
  <dcterms:modified xsi:type="dcterms:W3CDTF">2026-09-22T19:35:57Z</dcterms:modified>
  <cp:lastModifiedBy>Grosso, Lara</cp:lastModifiedBy>
  <cp:revision>0</cp:revision>
</cp:coreProperties>
</file>